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uao365-my.sharepoint.com/personal/a3012736_adelaide_edu_au/Documents/AHDEN/AIHW/"/>
    </mc:Choice>
  </mc:AlternateContent>
  <xr:revisionPtr revIDLastSave="0" documentId="8_{857EA9B0-170F-40D5-AA59-56F8EE1CF4F6}" xr6:coauthVersionLast="47" xr6:coauthVersionMax="47" xr10:uidLastSave="{00000000-0000-0000-0000-000000000000}"/>
  <bookViews>
    <workbookView xWindow="-120" yWindow="-120" windowWidth="29040" windowHeight="15840" tabRatio="467" firstSheet="2" activeTab="2" xr2:uid="{00000000-000D-0000-FFFF-FFFF00000000}"/>
  </bookViews>
  <sheets>
    <sheet name="APC_DD" sheetId="4" r:id="rId1"/>
    <sheet name="APC_OMOP" sheetId="5" r:id="rId2"/>
    <sheet name="PLIDA_PBS_OMOP" sheetId="6" r:id="rId3"/>
  </sheets>
  <definedNames>
    <definedName name="_xlnm._FilterDatabase" localSheetId="0" hidden="1">APC_DD!$A$1:$F$63</definedName>
    <definedName name="_xlnm._FilterDatabase" localSheetId="1" hidden="1">APC_OMOP!$A$1:$C$60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6" l="1"/>
  <c r="A16" i="6"/>
  <c r="A17" i="6" s="1"/>
  <c r="A18" i="6" s="1"/>
  <c r="A19" i="6" s="1"/>
  <c r="A20" i="6" s="1"/>
  <c r="A21" i="6" s="1"/>
  <c r="A22" i="6" s="1"/>
  <c r="A23" i="6" s="1"/>
  <c r="A24" i="6" s="1"/>
  <c r="A25" i="6" s="1"/>
  <c r="A26" i="6" s="1"/>
  <c r="A27" i="6" s="1"/>
  <c r="A28" i="6" s="1"/>
  <c r="A29" i="6" s="1"/>
  <c r="A30" i="6" s="1"/>
  <c r="A31" i="6" s="1"/>
  <c r="A4" i="6"/>
  <c r="A5" i="6" s="1"/>
  <c r="A6" i="6" s="1"/>
  <c r="A7" i="6" s="1"/>
  <c r="A8" i="6" s="1"/>
  <c r="A9" i="6" s="1"/>
  <c r="A10" i="6" s="1"/>
  <c r="A11" i="6" s="1"/>
  <c r="A12" i="6" s="1"/>
  <c r="A13" i="6" s="1"/>
  <c r="A14" i="6" s="1"/>
  <c r="A3" i="6"/>
  <c r="A63" i="4"/>
</calcChain>
</file>

<file path=xl/sharedStrings.xml><?xml version="1.0" encoding="utf-8"?>
<sst xmlns="http://schemas.openxmlformats.org/spreadsheetml/2006/main" count="531" uniqueCount="346">
  <si>
    <t>Item
No</t>
  </si>
  <si>
    <t xml:space="preserve">    Data item                                                                                                                                                  </t>
  </si>
  <si>
    <t>Variable name in Source database</t>
  </si>
  <si>
    <t>Type(size)</t>
  </si>
  <si>
    <t>No of fields</t>
  </si>
  <si>
    <t>Valid values / Notes</t>
  </si>
  <si>
    <t>State Record Identifier
METEOR: 679557</t>
  </si>
  <si>
    <t>StateRecordIdentifier</t>
  </si>
  <si>
    <t>String(80)</t>
  </si>
  <si>
    <t xml:space="preserve">Use NHDD/METeOR definition.
Stable and unique record identifier.
</t>
  </si>
  <si>
    <t>Establishment Identifier
METEOR: 269973</t>
  </si>
  <si>
    <t>EstablishmentIdentifier</t>
  </si>
  <si>
    <t>String(9)</t>
  </si>
  <si>
    <t>Use NHDD/METeOR definition.
Concatenation of:
N(1): Australian state/territory identifier (METeOR 720081)
   1 - New South Wales
   2 - Victoria
   3 - Queensland
   4 - South Australia
   5 - Western Australia
   6 - Tasmania
   7 - Northern Territory
   8 - Australian Capital Territory
   9 - Other territories (Cocos (Keeling) Islands, Christmas Island, Jervis Bay Territory and Norfolk Island)
N(1): establishment sector (Note this is more detailed than METeOR 269977)
   1 - public (excluding psychiatric hospitals)
   2 - private (excluding free-standing day hospital 
        facilities) 
   4 - public psychiatric
   5 - private free-standing day hospital facility  
A(2): region code (METeOR 269940)
Values as specified by individual state/territory
(Note region must be right-justified and zero filled.)
A(5): establishment number (METeOR 269975)
(Note establishment number must be right-justified and zero filled)</t>
  </si>
  <si>
    <t xml:space="preserve">Hospital geographical Indicator (Geographic remoteness of establishment)
METEOR: 776966
</t>
  </si>
  <si>
    <t>HospitalGeogIndicator</t>
  </si>
  <si>
    <t>Number(1)</t>
  </si>
  <si>
    <t>Remoteness Area:
0 - Major cities of Australia
1 - Inner Regional Australia
2 - Outer Regional Australia
3 - Remote Australia
4 - Very Remote Australia
5 - Migratory
9 - Not stated/inadequately described
Value based on the Australian Statistical Geography Standard Edition 3.</t>
  </si>
  <si>
    <t xml:space="preserve">Person Identifier
METEOR: 290046
</t>
  </si>
  <si>
    <t>PersonIdentifier</t>
  </si>
  <si>
    <t xml:space="preserve">String(20) </t>
  </si>
  <si>
    <t>Use METEOR definition.
Person identifier unique within establishment.</t>
  </si>
  <si>
    <t>Sex
METEOR: 741686</t>
  </si>
  <si>
    <t>Sex</t>
  </si>
  <si>
    <t xml:space="preserve">Use METEOR definition.
The sex of the person:
1 - male
2 - female
3 - another term
9 - not stated/inadequately described
Data must be supplied for at least one of either sex or gender.  Both may be supplied.
If you do not have data for the variable sex please code sex=9 for all records
</t>
  </si>
  <si>
    <t>Gender
METEOR: 741842</t>
  </si>
  <si>
    <t>Gender</t>
  </si>
  <si>
    <t xml:space="preserve">Use METEOR definition.
The gender of the person:
1 - man, or boy, or male
2 - woman, or girl, or female
3 - non-binary
4 - different term
5 - prefer not to answer
9 - not stated / inadequately described
Data must be supplied for at least one of either gender or sex.  Both may be supplied.
If you do not have data for the variable gender please code gender=9 for all records
</t>
  </si>
  <si>
    <t>Date of Birth
METEOR: 287007</t>
  </si>
  <si>
    <t>DateOfBirth</t>
  </si>
  <si>
    <t xml:space="preserve">Number(8)
 </t>
  </si>
  <si>
    <t xml:space="preserve">Use METEOR definition.
Format DDMMYYYY (zero filled)
E.g. 3rd March 1927 would be 03031927
Birth date is unlikely to be 01 January 1901 or earlier 
                                                                                                                                                                                                                                                                                                                                                                  If date of birth is unknown, this field should be left blank.  Please do not set unknown date of birth to 01011900 or any other default value.
</t>
  </si>
  <si>
    <t>Country of Birth
METEOR: 659454</t>
  </si>
  <si>
    <t>CountryOfBirth</t>
  </si>
  <si>
    <t>Number(4)</t>
  </si>
  <si>
    <t xml:space="preserve">Use METEOR definition.
The country in which the patient was born.
Value based on the Standard Australian Classification of Countries (SACC) (2016)
Supplementary value(s): 
0000 - Inadequately Described
0001 - At Sea
0003 - Not Stated
0004 - Unknown (for use in economic statistics: the destination or origin of the goods is unknown)
0005 - Unidentified (for use in economic statistics: the country reported on import/export documentation is not recognised)
(right justified zero filled)
</t>
  </si>
  <si>
    <t>Indigenous status
METEOR: 602543</t>
  </si>
  <si>
    <t>IndigenousStatus</t>
  </si>
  <si>
    <t xml:space="preserve">Use METEOR definition.
1 - Aboriginal but not Torres Strait Islander origin
2 - Torres Strait Islander but not Aboriginal origin
3 - Both Aboriginal and Torres Strait Islander origin
4 - Neither Aboriginal nor Torres Strait Islander origin
9 - Not stated/inadequately described
</t>
  </si>
  <si>
    <t>Marital status
METEOR: 766507</t>
  </si>
  <si>
    <t>MaritalStatus</t>
  </si>
  <si>
    <t xml:space="preserve">Use METEOR definition.
1 - never married
2 - widowed
3 - divorced
4 - separated
5 - married (registered and de facto)
6 - not stated / inadequately described
Scope: only supplied for episodes of care with care type of ‘mental health care’
Blank if episode is not in scope.
</t>
  </si>
  <si>
    <t>Area of usual residence SA2
METEOR: 747315</t>
  </si>
  <si>
    <t>SA2OfUsualResidence</t>
  </si>
  <si>
    <t xml:space="preserve">String(9)
</t>
  </si>
  <si>
    <t>Use METeOR definition.
Geographical location of usual residence of the patient under the ASGS Edition 3.
Concatenation:
A(1): Australian state/territory identifier:
0 - Unknown no usual/no fixed address 
1 - New South Wales
2 - Victoria
3 - Queensland
4 - South Australia
5 - Western Australia
6 - Tasmania
7 - Northern Territory
8 - Australian Capital Territory
9 - Other Territories, (Cocos (Keeling) Islands, Christmas Island, Jervis Bay Territory and Norfolk Island)
Z -  Outside Australia
If the person is resident in Australia but the state of residence is not known then it should be set to 0
digit 2 &amp; 3 - SA4 code A(2)
digit 4 &amp; 5 - SA3 code A(2)
digit 6 - 9 - SA2 code A(4)
Includes the following special purpose ASGS codes  
ZZZZZZZZZ Outside Australia
residence state+99999499 – no usual address  
residence state+97979799 - migratory-offshore-shipping
residence state+99999999 – unknown SA2 for a given residence state
099999999 - Unknown SA2</t>
  </si>
  <si>
    <t>Australian postcode
METEOR: 611398</t>
  </si>
  <si>
    <t>AustralianPostcode</t>
  </si>
  <si>
    <t xml:space="preserve">Use METEOR definition.  
The postcode relates to the patient’s area of usual residence.    
0097 - Not applicable (e.g. Overseas, No fixed address)
0098 - Unknown  
0099 - Not stated/inadequately described  
(right justified zero filled)
</t>
  </si>
  <si>
    <t>Accommodation type (usual)
METEOR: 270088</t>
  </si>
  <si>
    <t>TypeOfUsualAccommodation</t>
  </si>
  <si>
    <t>Number(2)</t>
  </si>
  <si>
    <t xml:space="preserve">Use METEOR definition.
01 - Private residence (e.g. house, flat, bedsitter, caravan, boat,
       independent unit in retirement village), including privately 
       and publicly rented homes   
02 - Psychiatric hospital 
03 - Residential aged care service
04 - Specialised alcohol/other drug treatment residence
05 - Specialised mental health community-based residential 
       support service
06 - Domestic-scale supported living facility (e.g. group home for
       people with disabilities)
07 - Boarding/rooming house/hostel or hostel type accommodation,
       not including aged persons' hostel
08 - Homeless persons' shelter
09 - Shelter/refuge (not including homeless persons' shelter)
10 - Other supported accommodation
11 - Prison/remand centre/youth training centre
12 - Public place (homeless)
13 - Other accommodation, not elsewhere classified
14 - Unknown/unable to determine
Scope: only supplied for episodes of care with care type of ‘mental health care’
Blank if episode is not in scope.
Supply Type of accommodation and/or Type of usual accommodation prior to admission.                                  </t>
  </si>
  <si>
    <t>Accommodation type (prior to admission)
METEOR: 647330</t>
  </si>
  <si>
    <t>TypeOfAccommodationPrior</t>
  </si>
  <si>
    <t xml:space="preserve">Use METEOR definition.
1 - House or flat
2 - Independent unit as part of a retirement village or similar
3 - Hostel or hostel type accommodation
4 - Psychiatric hospital
5 - Acute hospital
6 - Other accommodation
7 - No usual residence
Supplementary value(s): 9 - Not reported/unknown 
Scope: only supplied for episodes of care with care type of ‘mental health care’
Blank if episode is not in scope.
Supply type of usual accommodation and/or Type of accommodation.
</t>
  </si>
  <si>
    <t>Labour force status – acute hospital and private psychiatric hospital admissions
METEOR: 269948</t>
  </si>
  <si>
    <t>EmploymentStatusAcute</t>
  </si>
  <si>
    <t xml:space="preserve">Use METEOR definition.
1 - Unemployed/pensioner
2 - Other
Supplementary value(s): 9 - Not reported/unknown
Scope: only supplied for episodes of care with care type of ‘mental health care’ and establishment sector of 1, 2 or 5
Blank if episode is not in scope.
</t>
  </si>
  <si>
    <t>Labour force status – public psychiatric hospital admissions
METEOR: 269955</t>
  </si>
  <si>
    <t>EmploymentStatus</t>
  </si>
  <si>
    <t xml:space="preserve">Use METEOR definition.
1 - child not at school
2 - student
3 - employed
4 - unemployed
5 - home duties
6 - other
Supplementary value(s): 9 - Not reported/unknown 
Scope: only supplied for episodes of care with care type of ‘mental health care’ and establishment sector of 4
Blank if episode is not in scope.
</t>
  </si>
  <si>
    <t>Admitted patient election status
METEOR: 326619</t>
  </si>
  <si>
    <t>AdmittedPatientElectionSt</t>
  </si>
  <si>
    <t xml:space="preserve">Use METEOR definition.
1 - public 
2 - private 
Supplementary value(s): 9 - not reported/unknown
</t>
  </si>
  <si>
    <t>Hospital insurance status
METEOR: 647326</t>
  </si>
  <si>
    <t>HospitalInsuranceStatus</t>
  </si>
  <si>
    <t xml:space="preserve">Use METEOR definition.
1 - hospital insurance 
2 - no hospital insurance 
9 - unknown
</t>
  </si>
  <si>
    <t>Medicare eligibility status
METEOR: 481841</t>
  </si>
  <si>
    <t>MedicareEligibilityStatus</t>
  </si>
  <si>
    <t xml:space="preserve">Use METEOR definition.
1 - eligible
2 - not eligible
9 - not stated/unknown
</t>
  </si>
  <si>
    <t>Funding source for hospital patient
METEOR: 780491</t>
  </si>
  <si>
    <t>FundingSource</t>
  </si>
  <si>
    <t xml:space="preserve">Use METEOR definition.  
01 - Health service budget (not covered elsewhere) 
02 - Health service budget (due to eligibility for Reciprocal Health Care Agreement) 
03 - Health service budget (no charge raised due to hospital decision) 
04 - Department of Veterans' Affairs 
05 - Department of Defence 
06 - Correctional facility 
07 - Medicare Benefits Schedule 
08 - Other hospital or public authority (contracted care) 
09 - Private health insurance 
10 - Worker's compensation 
11 - Motor vehicle third party personal claim 
12 - Other compensation (e.g. public liability, common law, medical negligence) 
13 - Self-funded 
88 - Other funding source
Supplementary value(s):
98 - Not known
</t>
  </si>
  <si>
    <t>Care type
METEOR: 711010</t>
  </si>
  <si>
    <t>CareType</t>
  </si>
  <si>
    <t xml:space="preserve">Number(2)
</t>
  </si>
  <si>
    <t xml:space="preserve">Use METEOR definition.
Admitted care 
 1 - Acute care
 2 - Rehabilitation care
 3 - Palliative care
 4 - Geriatric evaluation and management
 5 - Psychogeriatric care
 6 - Maintenance care
 7 - Newborn care
11 - Mental health care
88 - Other admitted patient care
Care other than admitted care 
9 - Organ procurement—posthumous
10 - Hospital boarder
Supplementary value(s): 99 - Not reported/unknown
</t>
  </si>
  <si>
    <t xml:space="preserve">Number of qualified days for newborns
METEOR: 722649 </t>
  </si>
  <si>
    <t>NewbornQualifiedDays</t>
  </si>
  <si>
    <t xml:space="preserve">Number(5)
</t>
  </si>
  <si>
    <t xml:space="preserve">Use METEOR definition.
In days; Format NNNNN.
E.g. 18 days would be 18.  
Scope: Newborn episodes of care. 
Blank if episode of care not in scope
</t>
  </si>
  <si>
    <t xml:space="preserve">Total psychiatric care days 
METEOR: 722678 </t>
  </si>
  <si>
    <t>TotalPsychiatricCareDays</t>
  </si>
  <si>
    <t xml:space="preserve">Use METEOR definition.
In days; Format NNNNN
E.g. 18 days would be 18.
Scope: only supplied for episodes of care with care type of ‘mental health care’
Blank if episode of care is not in scope.
</t>
  </si>
  <si>
    <t xml:space="preserve">Mental health legal status
METEOR: 727343
</t>
  </si>
  <si>
    <t>MentalHealthLegalStatus</t>
  </si>
  <si>
    <t xml:space="preserve">Number(1)
</t>
  </si>
  <si>
    <t xml:space="preserve">Use METEOR definition.
1 - involuntary patient 
2 - voluntary patient
Supplementary value(s):   9 - Not reported/unknown 
Scope: only supplied for episodes of care with care type of ‘mental health care’
Blank if episode is not in scope. 
</t>
  </si>
  <si>
    <t>Previous specialised treatment
METEOR: 270374</t>
  </si>
  <si>
    <t>PreviousSpecialisedTreatment</t>
  </si>
  <si>
    <t xml:space="preserve">Use METEOR definition.
1 - no previous admission(s) or service contact(s) for the specialised 
     treatment now being provided
2 - previous admission(s) but no service contact(s) for the 
     specialised treatment now being provided 
3 - previous service contact(s) but no admission(s) for the 
     specialised treatment now being provided 
4 - both previous admission(s) and service contact(s) for the 
     specialised treatment now being provided 
5 - unknown/not stated
Scope: Only supplied for mental health care patients and palliative care patients
Blank if episode is not in scope.
</t>
  </si>
  <si>
    <t>Admission date
METEOR: 695137</t>
  </si>
  <si>
    <t>AdmissionDate</t>
  </si>
  <si>
    <t>String(8)</t>
  </si>
  <si>
    <t xml:space="preserve">Use METEOR definition.
Format DDMMYYYY (zero filled)
E.g. 3rd April 2025 would be 03042025
The Date of Admission cannot be greater than 30 June 2025
</t>
  </si>
  <si>
    <t>Admission time
METEOR: 748817</t>
  </si>
  <si>
    <t>AdmissionTime</t>
  </si>
  <si>
    <t>String(4)</t>
  </si>
  <si>
    <t xml:space="preserve">Use METEOR definition.
Format hhmm (zero filled) 
24 hour clock format
E.g. 3.30pm would be 1530
       12:15am would be 0015
If admission time is unknown, this field should be left blank. Please do not set an unknown time of admission to 0000 or any other default value.
</t>
  </si>
  <si>
    <t>Separation date 
METEOR: 270025</t>
  </si>
  <si>
    <t>SeparationDate</t>
  </si>
  <si>
    <t xml:space="preserve">Use METEOR definition.
Format DDMMYYYY (zero filled)
E.g. 3rd April 2025 would be 03032025
The Date of Separation cannot be greater than 30 June 2025 OR less than 1 July 2024
</t>
  </si>
  <si>
    <t>Separation time
METEOR: 748820</t>
  </si>
  <si>
    <t>SeparationTime</t>
  </si>
  <si>
    <t xml:space="preserve">Use METEOR definition.
Format hhmm (zero filled) 
24 hour clock format
E.g. 3.30pm would be 1530
       12:15am would be 0015
If separation time is unknown, this field should be left blank. Please do not set an unknown time of separation to 0000 or any other default value.
</t>
  </si>
  <si>
    <t>Total number of leave days
METEOR: 270251</t>
  </si>
  <si>
    <t>TotalNumberOfLeaveDays</t>
  </si>
  <si>
    <t xml:space="preserve">Number(5)
</t>
  </si>
  <si>
    <t xml:space="preserve">Use METEOR definition.
In days;
E.g. 18 days would be 18.
For palliative care episode, this should be the total of all leave days reported through the palliative care phases.
</t>
  </si>
  <si>
    <t>Source of referral to public psychiatric hospitals
METEOR: 269947</t>
  </si>
  <si>
    <t>ReferralSource</t>
  </si>
  <si>
    <t xml:space="preserve">Use METEOR definition.
01 - private psychiatric practice
02 - other private medical practice
03 - other public psychiatric hospital
04 - other health care establishment
05 - other private hospital
06 - law enforcement agency
07 - other agency
08 - outpatient department
09 - other
10 - unknown
Scope: All admitted patients receiving care in public psychiatric hospitals.
Blank if episode of care not in scope.
</t>
  </si>
  <si>
    <t>Urgency of admission
METEOR: 686084</t>
  </si>
  <si>
    <t>UrgencyOfAdmission</t>
  </si>
  <si>
    <t xml:space="preserve">Use METEOR definition.
1 - urgency status assigned - emergency
2 - urgency status assigned - elective
3 - urgency status not assigned 
9 - not known/not reported
</t>
  </si>
  <si>
    <t>Mode of admission
METEOR: 269976</t>
  </si>
  <si>
    <t>ModeOfAdmission</t>
  </si>
  <si>
    <t xml:space="preserve">Use METEOR definition.
1 - admitted patient transferred from another hospital
2 - statistical admission – episode type change
3 - other
Supplementary value(s): 9 - Not reported/ unknown
</t>
  </si>
  <si>
    <t>Mode of separation
METEOR: 722644</t>
  </si>
  <si>
    <t>ModeOfSeparation</t>
  </si>
  <si>
    <t xml:space="preserve">Use METEOR definition.
10 - Discharge/transfer to (an)other acute hospital
21 - Discharge/transfer to a residential aged care service, which is not the usual place of residence
22 - Discharge/transfer to a residential aged care service, which is the usual place of residence
30 - Discharge/transfer to (an)other psychiatric hospital
40 - Discharge/transfer to other health care accommodation (includes mothercraft hospitals)
50 - Statistical discharge - type change
60 - Left against medical advice/discharge at own risk
70 - Statistical discharge from leave
80 - Died
90 - Other (includes discharge to usual residence (not including residential aged care), own accommodation/welfare institution (includes prisons, hostels and group homes providing primarily welfare services))
</t>
  </si>
  <si>
    <t>Referral destination (mental health care)
METEOR: 269990</t>
  </si>
  <si>
    <t>ReferralToFurtherCare</t>
  </si>
  <si>
    <t xml:space="preserve">Use METEOR definition.
1 - not referred
2 - private psychiatrist
3 - other private medical practitioner
4 - mental health / alcohol and drug in-patient facility
5 - mental health / alcohol and drug non in-patient facility
6 - acute hospital
7 - other
Supplementary value(s): 9 - not stated/unknown 
Scope: only supplied for episodes of care with care type of ‘mental health care.
Blank if episode is not in scope.
</t>
  </si>
  <si>
    <t xml:space="preserve">Weight
METEOR: 310245
</t>
  </si>
  <si>
    <t>Weight</t>
  </si>
  <si>
    <t xml:space="preserve">Use METEOR definition.
The weight of the infant measured in grams.
Format NNNN 
E.g. 20g is 20
Scope: Weight on the date the infant is admitted should be recorded if the weight is less than or equal to 9,000 grams and age is less than 365 days.
Blank if infant age is unknown or infant weight is greater than 9,000 grams or infant age is greater than 365 days. 
The value 9999 may be used to denote that the infant weight was unknown/not reported for a patient under 365 days old.
</t>
  </si>
  <si>
    <t>Intended length of hospital stay
METEOR: 270399</t>
  </si>
  <si>
    <t>IntendedLengthOfHospitalStay</t>
  </si>
  <si>
    <t xml:space="preserve">Use METEOR definition 
1 - Intended same-day
2 - Intended overnight
Supplementary value(s): 9 - Not reported/ unknown
</t>
  </si>
  <si>
    <t xml:space="preserve">Number of days of hospital-in-the-home care
METEOR: 686115
</t>
  </si>
  <si>
    <t>HospitalInTheHome</t>
  </si>
  <si>
    <t>Use METEOR definition
in days
E.g. 18 days would be 18</t>
  </si>
  <si>
    <t xml:space="preserve">Contracted hospital care establishment identifier
METEOR: 270013
</t>
  </si>
  <si>
    <t>ContractedEstablishmentID</t>
  </si>
  <si>
    <t xml:space="preserve">Use METEOR definition.  The other establishment involved in the inter-contracted care.
Concatenation of:
N(1): Australian state/territory identifier (METEOR 720081)
   1 - New South Wales
   2 - Victoria
   3 - Queensland
   4 - South Australia
   5 - Western Australia
   6 - Tasmania
   7 - Northern Territory
   8 - Australian Capital Territory
   9 - Other territories (Cocos (Keeling) Islands, Christmas Island, 
        Jervis Bay Territory and Norfolk Island)
N(1): establishment sector (Note this is more detailed than METEOR 269977)
   1 - public (excluding psychiatric hospitals)
   2 - private (excluding free-standing day hospital 
        facilities) 
   4 - public psychiatric
   5 - private free-standing day hospital facility  
A(2): region code (METEOR 269940)
Values as specified by individual state/territory
(Note region must be right-justified and zero filled.)
A(5): establishment number (METEOR 269975) 
(Note establishment number must be right-justified and zero filled)
Blank if no inter-contracted care
</t>
  </si>
  <si>
    <t>Inter-hospital contracted patient status
METEOR: 647105</t>
  </si>
  <si>
    <t>ContractedPatient</t>
  </si>
  <si>
    <t xml:space="preserve">Use METEOR definition. 
1 - Inter-hospital contracted patient from public sector hospital 
2 - Inter-hospital contracted patient from private sector hospital 
3 - Inter-hospital contracted patient to public sector hospital 
4 - Inter-hospital contracted patient to private sector hospital 
5 - Not inter-hospital contracted 
9 - Not stated 
</t>
  </si>
  <si>
    <t>Length of stay in intensive care unit
METEOR: 731473</t>
  </si>
  <si>
    <t>LengthOfStayInICU</t>
  </si>
  <si>
    <t xml:space="preserve">Use METEOR definition.
Format HHHHH
The total number of hours is reported by public hospitals with approved:
Adult intensive care unit, level 3; or Paediatric Intensive Care Unit.
The total duration of hours reported should be rounded to the nearest hour
Where there is more than one period spent in an ICU, the total duration of hours is reported for all the periods during this episode.
E.g. 98 hours 45 minutes would be 99
</t>
  </si>
  <si>
    <t>Duration of continuous ventilatory support
METEOR: 746676</t>
  </si>
  <si>
    <t>HRSContinVentilatorySupport</t>
  </si>
  <si>
    <t xml:space="preserve">Use METEOR definition.
Format HHHHH
The amount of time (in completed cumulative hours) for all periods of continuous ventilation support.
E.g. 98 hours 45 minutes would be 98
</t>
  </si>
  <si>
    <t>Establishment Identifier for hospital managing waiting list 
METEOR: 269973 (ESWTC)</t>
  </si>
  <si>
    <t>ManagingWaitListEstabID</t>
  </si>
  <si>
    <t>Use METEOR definition.
Concatenation of:
N(1): Australian state/territory identifier (METEOR 720081)
   1 - New South Wales
   2 - Victoria
   3 - Queensland
   4 - South Australia
   5 - Western Australia
   6 - Tasmania
   7 - Northern Territory
   8 - Australian Capital Territory
   9 - Other territories (Cocos (Keeling) Islands, Christmas Island, 
        Jervis Bay Territory, and Norfolk Island)
N1): establishment sector (Note this is more detailed than METEOR 269977)
   1 - public (excluding psychiatric hospitals)
   2 - private (excluding free-standing day hospital 
        facilities) 
   4 - public psychiatric
   5 - private free-standing day hospital facility  
A(2): region code (METEOR 269940)
Values as specified by individual state/territory
(Note region must be right-justified and zero filled.)
A(5): establishment number (METEOR 269975)     
(Note establishment number must be right-justified and zero filled)                                                                                                                                               
Scope: Admissions from elective surgery waiting lists managed by public hospitals
Blank if episode of care not in scope.</t>
  </si>
  <si>
    <t>Elective Surgery Waiting Times Cluster Procedure Array
METEOR: 761015</t>
  </si>
  <si>
    <t>ElectiveSurgeryWaitingTimes1 - 
ElectiveSurgeryWaitingTimes5</t>
  </si>
  <si>
    <t xml:space="preserve">Use METEOR definitions.
The elective surgery procedure array is a string of 20 characters.
Each 20-character string contains information about an elective surgery intended procedure undertaken.  For most separations only one procedure is undertaken but in some circumstances there may be more than 1.  This array allows for providing information for up to 5 procedures.
For a given elective surgery procedure that was undertaken;
The first 8 characters of each 20-character string is the Listing Date For Care for the procedure: METEOR: 684808.  Format DDMMYYYY (zero filled) 
The next character of each 20-character string is the Clinical Urgency for the procedure: METEOR: 732423.  Format N(1)
The next character of each 20-character string is the Overdue Patient status for the procedure: METEOR: 732461.  Format N(1)
The next character of each 20-character string is the Reason for Removal for the procedure: METEOR: 684830.  Format N(1)
The next 2 characters of each 20-character string is the Surgical Specialty for the procedure: METEOR: 689726.  Format A(2) (zero filled)  
The next 3 characters of each 20-character string is the Intended procedure: METEOR: 759947.  Format A(3) (zero filled) 
The next 4 characters of each 20-character string is the Waiting Time at Removal from elective surgery waiting list (removal for admission) for the procedure: METEOR: 732455.  Format N(4)  (zero filled right justified)                                                         
The first 20-character string in the array must be the primary procedure undertaken (commas between each procedure)
See ESWT Cluster Array Format and ESWT Cluster Array Example sheets for more information on the structure of the elements of this array
Scope: This data element cluster is to be reported for patients on waiting lists for elective surgery, which are managed by public acute hospitals and have a category 1 or 2 assigned for the reason for removal from the elective surgery waiting list.
Blank if episode of care not in scope.
</t>
  </si>
  <si>
    <t>Intervention code array
METEOR: 746669</t>
  </si>
  <si>
    <t xml:space="preserve">ProcedureCode1 - ProcedureCode20
</t>
  </si>
  <si>
    <t>Use METEOR definition.
Coded using Australian Classification of Health Interventions (ACHI) (Twelfth Edition).
NNNNN-NN
Order codes according to Australian Coding Standards (ACS) Twelfth Edition.
Please note that the code is to be reported using the full 8-character ACHI codes, including the hyphen ‘-‘ format character. The maximum number of interventions that can be reported is 50.
20 comma delimited fields must be created for the intervention array but if a record has less than 20 intervention codes reported then the blank fields can be left empty (ie such a position on the file looks like ,,)</t>
  </si>
  <si>
    <t>Diagnosis Code Array</t>
  </si>
  <si>
    <t>DiagnosisCode1 - DiagnosisCode20</t>
  </si>
  <si>
    <t xml:space="preserve">String(8) </t>
  </si>
  <si>
    <t xml:space="preserve">Use METEOR definitions.
Coded using ICD-10-AM, Twelfth Edition. 
20 comma delimited fields must be created for the diagnosis array but if a record has less than 20 codes reported then the blank fields can be left empty (ie such a position on the file looks like ,,).
The diagnosis array is a string of 8-character codes. Each 8-character code is a concatenation of the condition onset flag and a diagnosis code.
The first character of each field in the string is the condition onset flag. 
The subsequent 7 characters in each field in the string are the diagnosis codes i.e. the principal diagnosis and each additional diagnosis code followed by its associated morphology, external cause, place of occurrence and activity codes.
N(1): Condition onset flag (METEOR: 686100): 
Permissible values:  
1 Condition with onset during the episode of admitted patient care  
2 Condition not noted as arising during the episode of admitted patient care                                                                                                       
9 Not reported                                                                                                              
The first code in the string must be the principal diagnosis code.
A(7): Principal Diagnosis Code (METEOR: 746665) - Format ANN{.N[N]} (left justified) E.g. I21.9
If there are morphology, external cause, place of occurrence and activity codes related to the principal diagnosis these should be placed in the next 4 fields. The first additional diagnosis can be placed in the 6th field. However, if the relationship between the principal diagnosis and morphology, external cause, place of occurrence and activity codes is not known then the first additional diagnosis can be placed in the 2nd field.
The subsequent codes may be any one of:
A(7): Additional Diagnosis Code (METEOR: 746667) - Format ANN{.N[N]} (left justified). E.g. E10.11
A(7): Morphology of Neoplasm - Format ANNNN/N (left justified). E.g. M8500/3
A(7): External Cause - admitted patient (METEOR: 746659) - Format ANN.NN (left justified). E.g. V83.9
(Note: A Place of occurrence is required if the External Cause is between V00 and Y89xx. An Activity when injured is required if the External Cause is between V00 and Y89)
A(7): Place of Occurrence of External Cause of Injury (METEOR: 746661) - Format Y92.NN (left justified). E.g. Y92.85.
A(7): Activity when injured (METEOR: 746663) - Format U50(.NN) – U73(.NN) (left justified). E.g. U65.0
Coded using ICD-10-AM, Twelfth Edition.
</t>
  </si>
  <si>
    <t xml:space="preserve">Mental health episode identifier
METEOR: 751899
</t>
  </si>
  <si>
    <t>MentalHealthEpisodeId</t>
  </si>
  <si>
    <t xml:space="preserve">Use METEOR definition
Scope: only supplied for episodes of care with care type of ‘mental health care’.
Note: Leave blank if care type not 11 (Mental health care)
</t>
  </si>
  <si>
    <t>Primary impairment type
METEOR: 781319</t>
  </si>
  <si>
    <t>ImpairmentType</t>
  </si>
  <si>
    <t xml:space="preserve"> Number(7)</t>
  </si>
  <si>
    <t xml:space="preserve">Use METEOR definition.
Format NN.NNNN
Apply AROC impairment codes from 1 July 2022
99.9999 - No AROC impairment code provided
Data format includes decimal point.
</t>
  </si>
  <si>
    <t>Functional Independence Measure (FIM) score array
METEOR: 717982</t>
  </si>
  <si>
    <t>FIMScore1 - FIMScore18</t>
  </si>
  <si>
    <t xml:space="preserve">Use METEOR definition
1 - Total assistance with helper
2 - Maximal assistance with helper
3 - Moderate assistance with helper
4 - Minimal assistance with helper
5 - Supervision or setup with helper
6 - Modified independence with no helper
7 - Complete independence with no helper
Supplementary value(s): 9 - Not stated/inadequately described
999999999999999999- No FIM score supplied
Scope: Only provided for episodes of care with a care type of Rehabilitation or Geriatric evaluation and management.  
Blank if not in scope.  
Only the Functional Independence Measure scores at admission are required to be reported.  Not required for patients aged 17 years and under at admission.
</t>
  </si>
  <si>
    <t>Resource Utilisation Groups-Activities of Daily Living (RUG-ADL) total score
METEOR: 764211</t>
  </si>
  <si>
    <t>RUGADLScore</t>
  </si>
  <si>
    <t xml:space="preserve">The Resource Utilisation Groups - Activities of Daily Living (RUG-ADL) is a four item scale measuring a person's motor function for activities of daily living including:
• bed mobility 
• toileting 
• transfers 
• eating
For bed mobility, toileting and transfers, valid values are:
1 - Independent or supervision only
3 - Limited physical assistance
4 - Other than two persons physical assist
5 - Two or more person physical assist
Note: a score of 2 is not valid.
For eating, valid values are:
1 - Independent or supervision only
2 - Limited assistance
3 - Extensive assistance/total dependence/tube fed
Note: a score of 4 or 5 is not valid.
Scores are summed for the four ADL variables, i.e. bed mobility, toileting, transfers and eating. A total RUG-ADL score ranges from a minimum score of 4 to a maximum score of 18.
Supplementary value(s): 99 - Not stated/inadequately described
Scope: Only provided for episodes of care with a care type Palliative care or Maintenance care.  
Blank if not in scope.
Only the Resource Utilisation Groups - Activities of Daily Living (RUG-ADL) scores at admission are required to be reported for maintenance care episodes.
</t>
  </si>
  <si>
    <t>Health of the Nation Outcome Scale 65+ (HoNOS 65+) score array
METEOR: 748292</t>
  </si>
  <si>
    <t>HoNOSScore1 - HoNOSScore12</t>
  </si>
  <si>
    <t xml:space="preserve">Use METEOR definition
0 - No problem within the period stated
1 - Minor problem requiring no action
2 - Mild problem but definitely present
3 - Moderately severe problem
4 - Severe to very severe problem
7 - Not stated / missing
9 - Unable to rate because not known or not applicable to the consumer
999999999999- No HoNOS 65+ score supplied.
Scope: Only provided for episodes of care with a care type of Psychogeriatric care.  
Blank if not in scope.
Only the HoNOS 65+ scores at admission are required to be reported.
The Unknown code should be used for Health of the Nation Outcome Scale for elderly people (HoNOS 65+) values that are missing or recorded in the HoNOS 65+ tool as '7 - Not stated/missing' and '9 - Unknown'.
</t>
  </si>
  <si>
    <t>Standardised Mini-Mental State Examination (SMMSE) score array
METEOR: 681420</t>
  </si>
  <si>
    <t>SMMSEScore1 - SMMSEScore12</t>
  </si>
  <si>
    <t xml:space="preserve">Use METEOR definition
0 - Score of 0
1 - Score of 1
2 - Score of 2
3 - Score of 3
4 - Score of 4
5 - Score of 5
7 - Not applicable - item has been omitted
8 - Unknown
9 - Not stated / inadequately described
For items 6-11, valid values are 0, 1, 7, 8 and 9. 
For items 3, 5 and 12, valid values are 0, 1, 2, 3, 7, 8 and 9
For items 1, 2 and 4, valid values are 0, 1, 2, 3, 4, 5, 7, 8 and 9
Scope: Only provided for episodes of care with a care type of Geriatric evaluation and management. 
Only one array of SMMSE scores (ie 12  individual scores) per  Geriatric evaluation and management episode are required to be reported. 
If multiple sets of SMMSE scores are recorded in the patient's record, the set of scores (12 individual scores) which demonstrate the lowest level of cognitive ability recorded during the Geriatric evaluation and management episode should be reported.
</t>
  </si>
  <si>
    <t>Palliative care linking key</t>
  </si>
  <si>
    <t>PallcareLinkingKey</t>
  </si>
  <si>
    <t>String(50)</t>
  </si>
  <si>
    <t xml:space="preserve">State-produced key used for linking admitted subacute and non-acute data and palliative care data
Note: Blank if care type not 3
</t>
  </si>
  <si>
    <t>Quarter Indicator</t>
  </si>
  <si>
    <t>QuarterIndicator</t>
  </si>
  <si>
    <t>String(7)</t>
  </si>
  <si>
    <t xml:space="preserve">Indicator of which quarter the record belongs to based on service date.  
Concatenation of the first 3 characters of the last month of the quarter, and year (no space in-between)
Format MMMYYYY
e.g. JUN2025 - data of quarter from 1 April 2024 to 30 June 2025
</t>
  </si>
  <si>
    <t>NWAU23</t>
  </si>
  <si>
    <t>Number(9)</t>
  </si>
  <si>
    <t xml:space="preserve">Calculated NWAU23
Format NNNN.NNNN (up to 4 decimal places)
Blank if not provided
</t>
  </si>
  <si>
    <t>NWAU24</t>
  </si>
  <si>
    <t xml:space="preserve">Calculated NWAU24
Format NNNN.NNNN (up to 4 decimal places)
Blank if not provided
</t>
  </si>
  <si>
    <t>NWAU25</t>
  </si>
  <si>
    <t xml:space="preserve">Calculated NWAU25
Format NNNN.NNNN (up to 4 decimal places)
Blank if not provided
</t>
  </si>
  <si>
    <t>Length of stay in intensive care unit - other</t>
  </si>
  <si>
    <t>LengthOfStayInOtherICU</t>
  </si>
  <si>
    <t xml:space="preserve">Format HHHHH
The total number of hours is reported by public hospitals with approved intensive care unit other than level 3 or Paediatric Intensive Care Unit.
The total duration of hours reported should be rounded to the nearest hour
Where there is more than one period spent in an ICU, the total duration of hours is reported for all the periods during this episode.
E.g. 98 hours 45 minutes would be 99
</t>
  </si>
  <si>
    <t>Individual Healthcare Identifier
METEOR: 743458</t>
  </si>
  <si>
    <t>IHI</t>
  </si>
  <si>
    <t>Number(16)</t>
  </si>
  <si>
    <t xml:space="preserve">Use METEOR definition.
Individual healthcare identifier uniquely identifies each individual in the Australian healthcare system.
Blank if identifier is unknown.
</t>
  </si>
  <si>
    <t>Individual Healthcare Identifier - Record status
METEOR: 743464</t>
  </si>
  <si>
    <t>IHIRecordStatus</t>
  </si>
  <si>
    <t xml:space="preserve">Use METEOR definition.
1 - Verified
2 - Unverified
3 - Provisional
Supplementary value(s):
9 - Not stated / inadequately described
Blank if not provided
</t>
  </si>
  <si>
    <t>Individual Healthcare Identifier - Number status
METEOR: 743466</t>
  </si>
  <si>
    <t>IHINumberStatus</t>
  </si>
  <si>
    <t xml:space="preserve">Number(1)
</t>
  </si>
  <si>
    <t xml:space="preserve">Use METEOR definition.
1 - Active
2 - Deceased
3 - Retired
4 - Expired
5 - Resolved
Supplementary value(s):
9 - Not stated / inadequately described
Blank if not provided
</t>
  </si>
  <si>
    <t>Area of usual residence SA1
METeOR: 747311</t>
  </si>
  <si>
    <t>SA1OfUsualResidence</t>
  </si>
  <si>
    <t xml:space="preserve">String(11)
</t>
  </si>
  <si>
    <r>
      <t xml:space="preserve">Use NHDD/METeOR definition.
Geographical location of usual residence of the patient under the ASGS Edition 3.
Concatenation:
A(1): Australian state/territory identifier:
0 -Unknown, no usual/ no fixed address 
1 - New South Wales
2 - Victoria
3 - Queensland
4 - South Australia
5 - Western Australia
6 - Tasmania
7 - Northern Territory
8 - Australian Capital Territory
9 - Other Territories, (Cocos(Keeling) Islands, Christmas Island, Jervis Bay Territory and Norfolk Island)
Z - Outside Australia
</t>
    </r>
    <r>
      <rPr>
        <strike/>
        <sz val="10"/>
        <rFont val="Arial"/>
        <family val="2"/>
      </rPr>
      <t>I</t>
    </r>
    <r>
      <rPr>
        <sz val="10"/>
        <rFont val="Arial"/>
        <family val="2"/>
      </rPr>
      <t xml:space="preserve">f the person is resident in Australia but the state of residence is not known then it should be set to zero
digit 2 &amp; 3 - SA4 code A(2)
digit 4 &amp; 5 - SA3 code A(2)
digit 6 - 9 - SA2 code A(4)
digit 10 &amp; 11 -  SA1 code A(2)
Includes the following special purpose ASGS codes:  
ZZZZZZZZZZZ Outside Australia
residence state+9999949999 –  No usual address
residence state+9999999999 – unknown SA1 for a given residence state
09999999999 - Unknown SA1
residence state+9797979991 - migratory
residence state+9797979992 - offshore
residence state+9797979993 - shipping
</t>
    </r>
  </si>
  <si>
    <t>Source Term</t>
  </si>
  <si>
    <t>Source Field</t>
  </si>
  <si>
    <t>OMOP Table(s)</t>
  </si>
  <si>
    <t>State Record Identifier</t>
  </si>
  <si>
    <t>VISIT_OCCURRENCE</t>
  </si>
  <si>
    <t>Establishment Identifier</t>
  </si>
  <si>
    <t>CARE_SITE, LOCATION</t>
  </si>
  <si>
    <t>Hospital geographical Indicator (Geographic remoteness of establishment)</t>
  </si>
  <si>
    <t>OBSERVATION</t>
  </si>
  <si>
    <t>Person Identifier</t>
  </si>
  <si>
    <t>PERSON,OBSERVATION</t>
  </si>
  <si>
    <t>PERSON</t>
  </si>
  <si>
    <t>Date of Birth</t>
  </si>
  <si>
    <t>Country of Birth</t>
  </si>
  <si>
    <t>Indigenous status</t>
  </si>
  <si>
    <t>Marital status</t>
  </si>
  <si>
    <t>Area of usual residence SA2</t>
  </si>
  <si>
    <t>Australian postcode</t>
  </si>
  <si>
    <t>LOCATION, OBSERVATION</t>
  </si>
  <si>
    <t>Accommodation type (usual)</t>
  </si>
  <si>
    <t>Accommodation type (prior to admission)</t>
  </si>
  <si>
    <t>Labour force status – acute hospital and private psychiatric hospital admissions</t>
  </si>
  <si>
    <t>Labour force status – public psychiatric hospital admissions</t>
  </si>
  <si>
    <t>Admitted patient election status</t>
  </si>
  <si>
    <t>Hospital insurance status</t>
  </si>
  <si>
    <t>Medicare eligibility status</t>
  </si>
  <si>
    <t>Funding source for hospital patient</t>
  </si>
  <si>
    <t>Care type</t>
  </si>
  <si>
    <t>VISIT_OCCURRENCE, VISIT_DETAIL , OBSERVATION</t>
  </si>
  <si>
    <t>Number of qualified days for newborns</t>
  </si>
  <si>
    <t xml:space="preserve">Total psychiatric care days </t>
  </si>
  <si>
    <t>Mental health legal status</t>
  </si>
  <si>
    <t>Previous specialised treatment</t>
  </si>
  <si>
    <t>Admission date</t>
  </si>
  <si>
    <t xml:space="preserve">VISIT_OCCURRENCE, VISIT_DETAIL </t>
  </si>
  <si>
    <t>Admission time</t>
  </si>
  <si>
    <t xml:space="preserve">Separation date </t>
  </si>
  <si>
    <t>Separation time</t>
  </si>
  <si>
    <t>Total number of leave days</t>
  </si>
  <si>
    <t>Source of referral to public psychiatric hospitals</t>
  </si>
  <si>
    <t>Urgency of admission</t>
  </si>
  <si>
    <t>Mode of admission</t>
  </si>
  <si>
    <t>Mode of separation</t>
  </si>
  <si>
    <t>Referral destination (mental health care)</t>
  </si>
  <si>
    <t>MEASUREMENT</t>
  </si>
  <si>
    <t>Intended length of hospital stay</t>
  </si>
  <si>
    <t>Number of days of hospital-in-the-home care</t>
  </si>
  <si>
    <t>Contracted hospital care establishment identifier</t>
  </si>
  <si>
    <t>Inter-hospital contracted patient status</t>
  </si>
  <si>
    <t>Length of stay in intensive care unit</t>
  </si>
  <si>
    <t>Duration of continuous ventilatory support</t>
  </si>
  <si>
    <t xml:space="preserve">Establishment Identifier for hospital managing waiting list </t>
  </si>
  <si>
    <t>Elective Surgery Waiting Times Cluster Procedure Array</t>
  </si>
  <si>
    <t xml:space="preserve">ElectiveSurgeryWaitingTimes1 - ElectiveSurgeryWaitingTimes5 </t>
  </si>
  <si>
    <t>Intervention code array</t>
  </si>
  <si>
    <t>ProcedureCode1 - ProcedureCode20</t>
  </si>
  <si>
    <t>PROCEDURE_OCCURRENCE</t>
  </si>
  <si>
    <t>CONDITION_OCCURRENCE, OBSERVATION, FACT_RELATIONSHIP</t>
  </si>
  <si>
    <t>Mental health episode identifier</t>
  </si>
  <si>
    <t>EPISODE, EPISODE_EVENT</t>
  </si>
  <si>
    <t>Primary impairment type</t>
  </si>
  <si>
    <t>Functional Independence Measure (FIM) score array</t>
  </si>
  <si>
    <t>Resource Utilisation Groups-Activities of Daily Living (RUG-ADL) total score</t>
  </si>
  <si>
    <t>Health of the Nation Outcome Scale 65+ (HoNOS 65+) score array</t>
  </si>
  <si>
    <t>Standardised Mini-Mental State Examination (SMMSE) score array</t>
  </si>
  <si>
    <t>Individual Healthcare Identifier</t>
  </si>
  <si>
    <t>Individual Healthcare Identifier - Record status</t>
  </si>
  <si>
    <t>Individual Healthcare Identifier - Number status</t>
  </si>
  <si>
    <t>Area of usual residence SA1</t>
  </si>
  <si>
    <t>Benefit amount</t>
  </si>
  <si>
    <t>BNFT_AMT</t>
  </si>
  <si>
    <t>COST</t>
  </si>
  <si>
    <t>Closing the gap benefit amount</t>
  </si>
  <si>
    <t>CTG_BNFT_AMT</t>
  </si>
  <si>
    <t>Closing the gap co-payment eligibility indicator</t>
  </si>
  <si>
    <t>CTG_CD</t>
  </si>
  <si>
    <t>Type of drug supplied - broad category code</t>
  </si>
  <si>
    <t>DRG_TYP_CD</t>
  </si>
  <si>
    <t>Date of processing</t>
  </si>
  <si>
    <t>EXTRCT_DT</t>
  </si>
  <si>
    <t>Item code</t>
  </si>
  <si>
    <t>ITM_CD</t>
  </si>
  <si>
    <t>DRUG_EXPOSURE</t>
  </si>
  <si>
    <t>Major specialty of prescriber</t>
  </si>
  <si>
    <t>MJR_SPCLTY_GRP_CD</t>
  </si>
  <si>
    <t>Quantity supplied</t>
  </si>
  <si>
    <t>PBS_RGLTN24_ADJST_QTY</t>
  </si>
  <si>
    <t>Pharmacy approval type</t>
  </si>
  <si>
    <t>PHRMCY_APPRVL_TYP_CD</t>
  </si>
  <si>
    <t>Supplying pharmacy id - scrambled</t>
  </si>
  <si>
    <t>PHRMCY_ID_SCRAM</t>
  </si>
  <si>
    <t>CARE_SITE</t>
  </si>
  <si>
    <t>Pharmacy postcode</t>
  </si>
  <si>
    <t>PHRMCY_PSTCD</t>
  </si>
  <si>
    <t>Prescriber id - scrambled</t>
  </si>
  <si>
    <t>PRSCRBR_ID_SCRAM</t>
  </si>
  <si>
    <t>PROVIDER</t>
  </si>
  <si>
    <t>Prescriber postcode</t>
  </si>
  <si>
    <t>PRSCRBR_MJR_PSTCD</t>
  </si>
  <si>
    <t>Prescriber type</t>
  </si>
  <si>
    <t>PRSCRBR_TYP_CD</t>
  </si>
  <si>
    <t>PROVIDER, OBSERVATION</t>
  </si>
  <si>
    <t>Date of prescribing</t>
  </si>
  <si>
    <t>PRSCRB_DT</t>
  </si>
  <si>
    <t>Number of authorised medication supplies</t>
  </si>
  <si>
    <t>PRSCRPTN_CNT</t>
  </si>
  <si>
    <t>Number of times previously supplied</t>
  </si>
  <si>
    <t>PRVS_SPPLY_NMBR</t>
  </si>
  <si>
    <t>Month of birth</t>
  </si>
  <si>
    <t>PTNT_BRTH_MTH</t>
  </si>
  <si>
    <t>Year of birth</t>
  </si>
  <si>
    <t>PTNT_BRTH_YR</t>
  </si>
  <si>
    <t>Patient contribution amount</t>
  </si>
  <si>
    <t>PTNT_CNTRBTN_AMT</t>
  </si>
  <si>
    <t>Patient entitlement status (derived)</t>
  </si>
  <si>
    <t>PTNT_CTGRY_DRVD_CD</t>
  </si>
  <si>
    <t>Patient postcode</t>
  </si>
  <si>
    <t>PTNT_PSTCD</t>
  </si>
  <si>
    <t>Patient sex</t>
  </si>
  <si>
    <t>PTNT_SEX_CD</t>
  </si>
  <si>
    <t>PERSON, OBSERVATION</t>
  </si>
  <si>
    <t>Regulation 24 applicable indicator</t>
  </si>
  <si>
    <t>RGLTN24_IND</t>
  </si>
  <si>
    <t>Number of authorised prescription repeats</t>
  </si>
  <si>
    <t>RPT_ORDR_NMBR</t>
  </si>
  <si>
    <t>Date of supply</t>
  </si>
  <si>
    <t>SPPLY_DT</t>
  </si>
  <si>
    <t>Repeat prescription indicator</t>
  </si>
  <si>
    <t>SRT_RPT_IND</t>
  </si>
  <si>
    <t>Streamlined authority code</t>
  </si>
  <si>
    <t>STRMLND_ATHRTY_CD</t>
  </si>
  <si>
    <t>Synthetic MADIP Person ID</t>
  </si>
  <si>
    <t>SYNTHETIC_AEUID</t>
  </si>
  <si>
    <t>Under co-payment prescription type</t>
  </si>
  <si>
    <t>UNDR_CPRSCRPTN_TYP_CD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</si>
</sst>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font>
    <font>
      <sz val="10"/>
      <name val="Arial"/>
    </font>
    <font>
      <sz val="10"/>
      <name val="Arial"/>
      <family val="2"/>
    </font>
    <font>
      <strike/>
      <sz val="10"/>
      <name val="Arial"/>
      <family val="2"/>
    </font>
    <font>
      <b/>
      <sz val="10"/>
      <name val="Arial"/>
      <family val="2"/>
    </font>
    <font>
      <b/>
      <sz val="11"/>
      <name val="Calibri"/>
      <family val="2"/>
    </font>
    <font>
      <sz val="11"/>
      <name val="Calibri"/>
      <family val="2"/>
    </font>
    <font>
      <sz val="1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
    <xf numFmtId="0" fontId="0" fillId="0" borderId="0"/>
    <xf numFmtId="0" fontId="1" fillId="0" borderId="0"/>
  </cellStyleXfs>
  <cellXfs count="20">
    <xf numFmtId="0" fontId="0" fillId="0" borderId="0" xfId="0"/>
    <xf numFmtId="0" fontId="1" fillId="0" borderId="0" xfId="1"/>
    <xf numFmtId="0" fontId="2" fillId="0" borderId="1" xfId="1" applyFont="1" applyBorder="1" applyAlignment="1">
      <alignment vertical="top" wrapText="1"/>
    </xf>
    <xf numFmtId="0" fontId="2" fillId="0" borderId="1" xfId="1" applyFont="1" applyBorder="1" applyAlignment="1">
      <alignment horizontal="center" vertical="top" wrapText="1"/>
    </xf>
    <xf numFmtId="0" fontId="2" fillId="0" borderId="1" xfId="1" applyFont="1" applyBorder="1" applyAlignment="1">
      <alignment horizontal="center" vertical="justify"/>
    </xf>
    <xf numFmtId="0" fontId="2" fillId="0" borderId="1" xfId="1" applyFont="1" applyBorder="1" applyAlignment="1" applyProtection="1">
      <alignment vertical="top" wrapText="1"/>
      <protection locked="0"/>
    </xf>
    <xf numFmtId="0" fontId="2" fillId="0" borderId="1" xfId="1" applyFont="1" applyBorder="1" applyAlignment="1" applyProtection="1">
      <alignment horizontal="center" vertical="top"/>
      <protection locked="0"/>
    </xf>
    <xf numFmtId="0" fontId="2" fillId="0" borderId="1" xfId="1" applyFont="1" applyBorder="1" applyAlignment="1" applyProtection="1">
      <alignment horizontal="center" vertical="top" wrapText="1"/>
      <protection locked="0"/>
    </xf>
    <xf numFmtId="0" fontId="2" fillId="0" borderId="1" xfId="1" applyFont="1" applyBorder="1" applyAlignment="1" applyProtection="1">
      <alignment horizontal="left" vertical="top" wrapText="1"/>
      <protection locked="0"/>
    </xf>
    <xf numFmtId="0" fontId="2" fillId="0" borderId="1" xfId="1" applyFont="1" applyBorder="1" applyAlignment="1" applyProtection="1">
      <alignment horizontal="center" vertical="justify"/>
      <protection locked="0"/>
    </xf>
    <xf numFmtId="0" fontId="2" fillId="2" borderId="2" xfId="1" applyFont="1" applyFill="1" applyBorder="1" applyAlignment="1">
      <alignment horizontal="left" vertical="top" wrapText="1"/>
    </xf>
    <xf numFmtId="0" fontId="2" fillId="2" borderId="1" xfId="1" applyFont="1" applyFill="1" applyBorder="1" applyAlignment="1">
      <alignment horizontal="left" vertical="top" wrapText="1"/>
    </xf>
    <xf numFmtId="0" fontId="4" fillId="0" borderId="1" xfId="1" applyFont="1" applyBorder="1" applyAlignment="1" applyProtection="1">
      <alignment horizontal="center" vertical="center" wrapText="1"/>
      <protection locked="0"/>
    </xf>
    <xf numFmtId="0" fontId="5" fillId="0" borderId="0" xfId="0" applyFont="1"/>
    <xf numFmtId="0" fontId="6" fillId="0" borderId="0" xfId="0" applyFont="1"/>
    <xf numFmtId="0" fontId="7" fillId="0" borderId="0" xfId="0" applyFont="1"/>
    <xf numFmtId="0" fontId="2" fillId="0" borderId="0" xfId="0" applyFont="1" applyAlignment="1">
      <alignment horizontal="right"/>
    </xf>
    <xf numFmtId="0" fontId="2" fillId="0" borderId="0" xfId="0" applyFont="1"/>
    <xf numFmtId="0" fontId="8" fillId="0" borderId="3" xfId="0" applyFont="1" applyBorder="1"/>
    <xf numFmtId="0" fontId="4" fillId="0" borderId="0" xfId="0" applyFont="1" applyAlignment="1">
      <alignment horizontal="center" vertical="center" wrapText="1"/>
    </xf>
  </cellXfs>
  <cellStyles count="2">
    <cellStyle name="Normal" xfId="0" builtinId="0"/>
    <cellStyle name="Normal 2" xfId="1" xr:uid="{3300138C-D07C-4110-8E36-4ED27489C5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9525</xdr:colOff>
      <xdr:row>0</xdr:row>
      <xdr:rowOff>9525</xdr:rowOff>
    </xdr:to>
    <xdr:pic>
      <xdr:nvPicPr>
        <xdr:cNvPr id="2" name="Picture 697" descr="http://www.abs.gov.au/icons/ecblank.gif">
          <a:extLst>
            <a:ext uri="{FF2B5EF4-FFF2-40B4-BE49-F238E27FC236}">
              <a16:creationId xmlns:a16="http://schemas.microsoft.com/office/drawing/2014/main" id="{6049BE3C-9DB1-442B-AEBE-33878378C2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3" name="Picture 703" descr="http://www.abs.gov.au/icons/ecblank.gif">
          <a:extLst>
            <a:ext uri="{FF2B5EF4-FFF2-40B4-BE49-F238E27FC236}">
              <a16:creationId xmlns:a16="http://schemas.microsoft.com/office/drawing/2014/main" id="{850CDD24-1A02-4FE2-86AF-A87E32FAF7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0</xdr:row>
      <xdr:rowOff>0</xdr:rowOff>
    </xdr:from>
    <xdr:ext cx="9525" cy="9525"/>
    <xdr:pic>
      <xdr:nvPicPr>
        <xdr:cNvPr id="4" name="Picture 697" descr="http://www.abs.gov.au/icons/ecblank.gif">
          <a:extLst>
            <a:ext uri="{FF2B5EF4-FFF2-40B4-BE49-F238E27FC236}">
              <a16:creationId xmlns:a16="http://schemas.microsoft.com/office/drawing/2014/main" id="{5FFE634A-0511-46DB-B86D-538FF7351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5" name="Picture 703" descr="http://www.abs.gov.au/icons/ecblank.gif">
          <a:extLst>
            <a:ext uri="{FF2B5EF4-FFF2-40B4-BE49-F238E27FC236}">
              <a16:creationId xmlns:a16="http://schemas.microsoft.com/office/drawing/2014/main" id="{5967DB6A-83C8-4E41-A339-8E23F3353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0</xdr:row>
      <xdr:rowOff>0</xdr:rowOff>
    </xdr:from>
    <xdr:to>
      <xdr:col>2</xdr:col>
      <xdr:colOff>9525</xdr:colOff>
      <xdr:row>0</xdr:row>
      <xdr:rowOff>9525</xdr:rowOff>
    </xdr:to>
    <xdr:pic>
      <xdr:nvPicPr>
        <xdr:cNvPr id="6" name="Picture 697" descr="http://www.abs.gov.au/icons/ecblank.gif">
          <a:extLst>
            <a:ext uri="{FF2B5EF4-FFF2-40B4-BE49-F238E27FC236}">
              <a16:creationId xmlns:a16="http://schemas.microsoft.com/office/drawing/2014/main" id="{CD78A168-3EB8-4545-8111-044CA68E0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7" name="Picture 703" descr="http://www.abs.gov.au/icons/ecblank.gif">
          <a:extLst>
            <a:ext uri="{FF2B5EF4-FFF2-40B4-BE49-F238E27FC236}">
              <a16:creationId xmlns:a16="http://schemas.microsoft.com/office/drawing/2014/main" id="{8EE8BEC2-4BDA-417B-9DB9-AE3B77DE1A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0</xdr:row>
      <xdr:rowOff>0</xdr:rowOff>
    </xdr:from>
    <xdr:ext cx="9525" cy="9525"/>
    <xdr:pic>
      <xdr:nvPicPr>
        <xdr:cNvPr id="8" name="Picture 697" descr="http://www.abs.gov.au/icons/ecblank.gif">
          <a:extLst>
            <a:ext uri="{FF2B5EF4-FFF2-40B4-BE49-F238E27FC236}">
              <a16:creationId xmlns:a16="http://schemas.microsoft.com/office/drawing/2014/main" id="{DDA9ED34-369E-4B90-BDA3-5B4C5646B8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9" name="Picture 703" descr="http://www.abs.gov.au/icons/ecblank.gif">
          <a:extLst>
            <a:ext uri="{FF2B5EF4-FFF2-40B4-BE49-F238E27FC236}">
              <a16:creationId xmlns:a16="http://schemas.microsoft.com/office/drawing/2014/main" id="{350113B2-1CD9-4FE5-BBF7-D15E46E41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10" name="Picture 697" descr="http://www.abs.gov.au/icons/ecblank.gif">
          <a:extLst>
            <a:ext uri="{FF2B5EF4-FFF2-40B4-BE49-F238E27FC236}">
              <a16:creationId xmlns:a16="http://schemas.microsoft.com/office/drawing/2014/main" id="{8DEEA230-788D-4321-B41F-FDF7305E5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11" name="Picture 703" descr="http://www.abs.gov.au/icons/ecblank.gif">
          <a:extLst>
            <a:ext uri="{FF2B5EF4-FFF2-40B4-BE49-F238E27FC236}">
              <a16:creationId xmlns:a16="http://schemas.microsoft.com/office/drawing/2014/main" id="{362989B0-237B-4B39-AC9A-DEA343166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12" name="Picture 697" descr="http://www.abs.gov.au/icons/ecblank.gif">
          <a:extLst>
            <a:ext uri="{FF2B5EF4-FFF2-40B4-BE49-F238E27FC236}">
              <a16:creationId xmlns:a16="http://schemas.microsoft.com/office/drawing/2014/main" id="{E2E63CF8-FD9D-46F5-A398-48C090BAC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13" name="Picture 703" descr="http://www.abs.gov.au/icons/ecblank.gif">
          <a:extLst>
            <a:ext uri="{FF2B5EF4-FFF2-40B4-BE49-F238E27FC236}">
              <a16:creationId xmlns:a16="http://schemas.microsoft.com/office/drawing/2014/main" id="{07399AF1-20BC-4674-8E64-173652C251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0</xdr:row>
      <xdr:rowOff>0</xdr:rowOff>
    </xdr:from>
    <xdr:to>
      <xdr:col>2</xdr:col>
      <xdr:colOff>9525</xdr:colOff>
      <xdr:row>0</xdr:row>
      <xdr:rowOff>9525</xdr:rowOff>
    </xdr:to>
    <xdr:pic>
      <xdr:nvPicPr>
        <xdr:cNvPr id="14" name="Picture 697" descr="http://www.abs.gov.au/icons/ecblank.gif">
          <a:extLst>
            <a:ext uri="{FF2B5EF4-FFF2-40B4-BE49-F238E27FC236}">
              <a16:creationId xmlns:a16="http://schemas.microsoft.com/office/drawing/2014/main" id="{DB456EB1-A6E2-403F-AD42-E1425FE00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5" name="Picture 703" descr="http://www.abs.gov.au/icons/ecblank.gif">
          <a:extLst>
            <a:ext uri="{FF2B5EF4-FFF2-40B4-BE49-F238E27FC236}">
              <a16:creationId xmlns:a16="http://schemas.microsoft.com/office/drawing/2014/main" id="{759C3C35-BE57-491F-88DF-D6EA0F788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0</xdr:row>
      <xdr:rowOff>0</xdr:rowOff>
    </xdr:from>
    <xdr:ext cx="9525" cy="9525"/>
    <xdr:pic>
      <xdr:nvPicPr>
        <xdr:cNvPr id="16" name="Picture 697" descr="http://www.abs.gov.au/icons/ecblank.gif">
          <a:extLst>
            <a:ext uri="{FF2B5EF4-FFF2-40B4-BE49-F238E27FC236}">
              <a16:creationId xmlns:a16="http://schemas.microsoft.com/office/drawing/2014/main" id="{233607B8-CD29-4985-9FE4-AA5434D052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17" name="Picture 703" descr="http://www.abs.gov.au/icons/ecblank.gif">
          <a:extLst>
            <a:ext uri="{FF2B5EF4-FFF2-40B4-BE49-F238E27FC236}">
              <a16:creationId xmlns:a16="http://schemas.microsoft.com/office/drawing/2014/main" id="{C6E236AC-EB81-4837-A880-7B96219EA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0</xdr:row>
      <xdr:rowOff>0</xdr:rowOff>
    </xdr:from>
    <xdr:to>
      <xdr:col>2</xdr:col>
      <xdr:colOff>9525</xdr:colOff>
      <xdr:row>0</xdr:row>
      <xdr:rowOff>9525</xdr:rowOff>
    </xdr:to>
    <xdr:pic>
      <xdr:nvPicPr>
        <xdr:cNvPr id="18" name="Picture 697" descr="http://www.abs.gov.au/icons/ecblank.gif">
          <a:extLst>
            <a:ext uri="{FF2B5EF4-FFF2-40B4-BE49-F238E27FC236}">
              <a16:creationId xmlns:a16="http://schemas.microsoft.com/office/drawing/2014/main" id="{590FF0B0-1FBC-4180-B7E8-B593E72B4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9" name="Picture 703" descr="http://www.abs.gov.au/icons/ecblank.gif">
          <a:extLst>
            <a:ext uri="{FF2B5EF4-FFF2-40B4-BE49-F238E27FC236}">
              <a16:creationId xmlns:a16="http://schemas.microsoft.com/office/drawing/2014/main" id="{725AA57D-1668-400E-AB19-5ED150337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0</xdr:row>
      <xdr:rowOff>0</xdr:rowOff>
    </xdr:from>
    <xdr:ext cx="9525" cy="9525"/>
    <xdr:pic>
      <xdr:nvPicPr>
        <xdr:cNvPr id="20" name="Picture 697" descr="http://www.abs.gov.au/icons/ecblank.gif">
          <a:extLst>
            <a:ext uri="{FF2B5EF4-FFF2-40B4-BE49-F238E27FC236}">
              <a16:creationId xmlns:a16="http://schemas.microsoft.com/office/drawing/2014/main" id="{9D9C37AC-E766-4808-AA7E-6F583D5C7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21" name="Picture 703" descr="http://www.abs.gov.au/icons/ecblank.gif">
          <a:extLst>
            <a:ext uri="{FF2B5EF4-FFF2-40B4-BE49-F238E27FC236}">
              <a16:creationId xmlns:a16="http://schemas.microsoft.com/office/drawing/2014/main" id="{25D1F385-97D5-4BAE-9D8D-C4A0A4DA58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0</xdr:row>
      <xdr:rowOff>0</xdr:rowOff>
    </xdr:from>
    <xdr:to>
      <xdr:col>2</xdr:col>
      <xdr:colOff>9525</xdr:colOff>
      <xdr:row>0</xdr:row>
      <xdr:rowOff>9525</xdr:rowOff>
    </xdr:to>
    <xdr:pic>
      <xdr:nvPicPr>
        <xdr:cNvPr id="22" name="Picture 697" descr="http://www.abs.gov.au/icons/ecblank.gif">
          <a:extLst>
            <a:ext uri="{FF2B5EF4-FFF2-40B4-BE49-F238E27FC236}">
              <a16:creationId xmlns:a16="http://schemas.microsoft.com/office/drawing/2014/main" id="{40089929-ACBE-4899-8904-832C1621C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3" name="Picture 703" descr="http://www.abs.gov.au/icons/ecblank.gif">
          <a:extLst>
            <a:ext uri="{FF2B5EF4-FFF2-40B4-BE49-F238E27FC236}">
              <a16:creationId xmlns:a16="http://schemas.microsoft.com/office/drawing/2014/main" id="{662B87AE-1507-4F3B-9E7A-C7F79C2D38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0</xdr:row>
      <xdr:rowOff>0</xdr:rowOff>
    </xdr:from>
    <xdr:ext cx="9525" cy="9525"/>
    <xdr:pic>
      <xdr:nvPicPr>
        <xdr:cNvPr id="24" name="Picture 697" descr="http://www.abs.gov.au/icons/ecblank.gif">
          <a:extLst>
            <a:ext uri="{FF2B5EF4-FFF2-40B4-BE49-F238E27FC236}">
              <a16:creationId xmlns:a16="http://schemas.microsoft.com/office/drawing/2014/main" id="{BC81C5A5-9A8E-47B6-9831-0FB854B8F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25" name="Picture 703" descr="http://www.abs.gov.au/icons/ecblank.gif">
          <a:extLst>
            <a:ext uri="{FF2B5EF4-FFF2-40B4-BE49-F238E27FC236}">
              <a16:creationId xmlns:a16="http://schemas.microsoft.com/office/drawing/2014/main" id="{E80DD9DF-37DB-46CC-8C21-41E096A23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0</xdr:row>
      <xdr:rowOff>0</xdr:rowOff>
    </xdr:from>
    <xdr:to>
      <xdr:col>2</xdr:col>
      <xdr:colOff>9525</xdr:colOff>
      <xdr:row>0</xdr:row>
      <xdr:rowOff>9525</xdr:rowOff>
    </xdr:to>
    <xdr:pic>
      <xdr:nvPicPr>
        <xdr:cNvPr id="26" name="Picture 697" descr="http://www.abs.gov.au/icons/ecblank.gif">
          <a:extLst>
            <a:ext uri="{FF2B5EF4-FFF2-40B4-BE49-F238E27FC236}">
              <a16:creationId xmlns:a16="http://schemas.microsoft.com/office/drawing/2014/main" id="{0D9F62ED-5D95-4888-B761-6D13D8891F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7" name="Picture 703" descr="http://www.abs.gov.au/icons/ecblank.gif">
          <a:extLst>
            <a:ext uri="{FF2B5EF4-FFF2-40B4-BE49-F238E27FC236}">
              <a16:creationId xmlns:a16="http://schemas.microsoft.com/office/drawing/2014/main" id="{DE21C0AD-3CCA-4DE9-AC4F-5A54988E77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0</xdr:row>
      <xdr:rowOff>0</xdr:rowOff>
    </xdr:from>
    <xdr:ext cx="9525" cy="9525"/>
    <xdr:pic>
      <xdr:nvPicPr>
        <xdr:cNvPr id="28" name="Picture 697" descr="http://www.abs.gov.au/icons/ecblank.gif">
          <a:extLst>
            <a:ext uri="{FF2B5EF4-FFF2-40B4-BE49-F238E27FC236}">
              <a16:creationId xmlns:a16="http://schemas.microsoft.com/office/drawing/2014/main" id="{323B3704-EF34-4F14-A95A-3A1282A6B3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0</xdr:row>
      <xdr:rowOff>0</xdr:rowOff>
    </xdr:from>
    <xdr:ext cx="9525" cy="9525"/>
    <xdr:pic>
      <xdr:nvPicPr>
        <xdr:cNvPr id="29" name="Picture 703" descr="http://www.abs.gov.au/icons/ecblank.gif">
          <a:extLst>
            <a:ext uri="{FF2B5EF4-FFF2-40B4-BE49-F238E27FC236}">
              <a16:creationId xmlns:a16="http://schemas.microsoft.com/office/drawing/2014/main" id="{7F51707C-3D5F-4ECB-A0B9-217212639E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87200" y="1790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0C03E-A679-4AAA-9E29-444F254B260E}">
  <sheetPr>
    <pageSetUpPr fitToPage="1"/>
  </sheetPr>
  <dimension ref="A1:F63"/>
  <sheetViews>
    <sheetView zoomScale="80" zoomScaleNormal="80" workbookViewId="0">
      <selection activeCell="F10" sqref="F10"/>
    </sheetView>
  </sheetViews>
  <sheetFormatPr defaultRowHeight="12.75"/>
  <cols>
    <col min="1" max="1" width="11.5703125" style="1" bestFit="1" customWidth="1"/>
    <col min="2" max="2" width="23.42578125" style="1" bestFit="1" customWidth="1"/>
    <col min="3" max="3" width="43.85546875" style="8" bestFit="1" customWidth="1"/>
    <col min="4" max="4" width="17.140625" style="1" bestFit="1" customWidth="1"/>
    <col min="5" max="5" width="18.5703125" style="1" customWidth="1"/>
    <col min="6" max="6" width="143.28515625" style="1" customWidth="1"/>
    <col min="7" max="16384" width="9.140625" style="1"/>
  </cols>
  <sheetData>
    <row r="1" spans="1:6" ht="25.5">
      <c r="A1" s="12" t="s">
        <v>0</v>
      </c>
      <c r="B1" s="12" t="s">
        <v>1</v>
      </c>
      <c r="C1" s="12" t="s">
        <v>2</v>
      </c>
      <c r="D1" s="12" t="s">
        <v>3</v>
      </c>
      <c r="E1" s="12" t="s">
        <v>4</v>
      </c>
      <c r="F1" s="12" t="s">
        <v>5</v>
      </c>
    </row>
    <row r="2" spans="1:6" ht="38.25">
      <c r="A2" s="9">
        <v>1</v>
      </c>
      <c r="B2" s="8" t="s">
        <v>6</v>
      </c>
      <c r="C2" s="8" t="s">
        <v>7</v>
      </c>
      <c r="D2" s="7" t="s">
        <v>8</v>
      </c>
      <c r="E2" s="7">
        <v>1</v>
      </c>
      <c r="F2" s="2" t="s">
        <v>9</v>
      </c>
    </row>
    <row r="3" spans="1:6" ht="331.5">
      <c r="A3" s="9">
        <v>2</v>
      </c>
      <c r="B3" s="8" t="s">
        <v>10</v>
      </c>
      <c r="C3" s="8" t="s">
        <v>11</v>
      </c>
      <c r="D3" s="7" t="s">
        <v>12</v>
      </c>
      <c r="E3" s="7">
        <v>1</v>
      </c>
      <c r="F3" s="5" t="s">
        <v>13</v>
      </c>
    </row>
    <row r="4" spans="1:6" ht="127.5">
      <c r="A4" s="9">
        <v>3</v>
      </c>
      <c r="B4" s="8" t="s">
        <v>14</v>
      </c>
      <c r="C4" s="8" t="s">
        <v>15</v>
      </c>
      <c r="D4" s="7" t="s">
        <v>16</v>
      </c>
      <c r="E4" s="7">
        <v>1</v>
      </c>
      <c r="F4" s="5" t="s">
        <v>17</v>
      </c>
    </row>
    <row r="5" spans="1:6" ht="51">
      <c r="A5" s="9">
        <v>4</v>
      </c>
      <c r="B5" s="8" t="s">
        <v>18</v>
      </c>
      <c r="C5" s="8" t="s">
        <v>19</v>
      </c>
      <c r="D5" s="7" t="s">
        <v>20</v>
      </c>
      <c r="E5" s="7">
        <v>1</v>
      </c>
      <c r="F5" s="5" t="s">
        <v>21</v>
      </c>
    </row>
    <row r="6" spans="1:6" ht="140.25">
      <c r="A6" s="9">
        <v>5</v>
      </c>
      <c r="B6" s="8" t="s">
        <v>22</v>
      </c>
      <c r="C6" s="8" t="s">
        <v>23</v>
      </c>
      <c r="D6" s="7" t="s">
        <v>16</v>
      </c>
      <c r="E6" s="7">
        <v>1</v>
      </c>
      <c r="F6" s="5" t="s">
        <v>24</v>
      </c>
    </row>
    <row r="7" spans="1:6" ht="165.75">
      <c r="A7" s="9">
        <v>6</v>
      </c>
      <c r="B7" s="8" t="s">
        <v>25</v>
      </c>
      <c r="C7" s="8" t="s">
        <v>26</v>
      </c>
      <c r="D7" s="7" t="s">
        <v>16</v>
      </c>
      <c r="E7" s="7">
        <v>1</v>
      </c>
      <c r="F7" s="5" t="s">
        <v>27</v>
      </c>
    </row>
    <row r="8" spans="1:6" ht="89.25">
      <c r="A8" s="9">
        <v>7</v>
      </c>
      <c r="B8" s="8" t="s">
        <v>28</v>
      </c>
      <c r="C8" s="8" t="s">
        <v>29</v>
      </c>
      <c r="D8" s="7" t="s">
        <v>30</v>
      </c>
      <c r="E8" s="7">
        <v>1</v>
      </c>
      <c r="F8" s="5" t="s">
        <v>31</v>
      </c>
    </row>
    <row r="9" spans="1:6" ht="153">
      <c r="A9" s="9">
        <v>8</v>
      </c>
      <c r="B9" s="8" t="s">
        <v>32</v>
      </c>
      <c r="C9" s="8" t="s">
        <v>33</v>
      </c>
      <c r="D9" s="7" t="s">
        <v>34</v>
      </c>
      <c r="E9" s="7">
        <v>1</v>
      </c>
      <c r="F9" s="5" t="s">
        <v>35</v>
      </c>
    </row>
    <row r="10" spans="1:6" ht="89.25">
      <c r="A10" s="9">
        <v>9</v>
      </c>
      <c r="B10" s="8" t="s">
        <v>36</v>
      </c>
      <c r="C10" s="8" t="s">
        <v>37</v>
      </c>
      <c r="D10" s="7" t="s">
        <v>16</v>
      </c>
      <c r="E10" s="7">
        <v>1</v>
      </c>
      <c r="F10" s="5" t="s">
        <v>38</v>
      </c>
    </row>
    <row r="11" spans="1:6" ht="153">
      <c r="A11" s="9">
        <v>10</v>
      </c>
      <c r="B11" s="8" t="s">
        <v>39</v>
      </c>
      <c r="C11" s="8" t="s">
        <v>40</v>
      </c>
      <c r="D11" s="7" t="s">
        <v>16</v>
      </c>
      <c r="E11" s="7">
        <v>1</v>
      </c>
      <c r="F11" s="5" t="s">
        <v>41</v>
      </c>
    </row>
    <row r="12" spans="1:6" ht="357">
      <c r="A12" s="9">
        <v>11</v>
      </c>
      <c r="B12" s="8" t="s">
        <v>42</v>
      </c>
      <c r="C12" s="8" t="s">
        <v>43</v>
      </c>
      <c r="D12" s="7" t="s">
        <v>44</v>
      </c>
      <c r="E12" s="7">
        <v>1</v>
      </c>
      <c r="F12" s="2" t="s">
        <v>45</v>
      </c>
    </row>
    <row r="13" spans="1:6" ht="89.25">
      <c r="A13" s="9">
        <v>12</v>
      </c>
      <c r="B13" s="8" t="s">
        <v>46</v>
      </c>
      <c r="C13" s="8" t="s">
        <v>47</v>
      </c>
      <c r="D13" s="7" t="s">
        <v>34</v>
      </c>
      <c r="E13" s="7">
        <v>1</v>
      </c>
      <c r="F13" s="5" t="s">
        <v>48</v>
      </c>
    </row>
    <row r="14" spans="1:6" ht="331.5">
      <c r="A14" s="9">
        <v>13</v>
      </c>
      <c r="B14" s="8" t="s">
        <v>49</v>
      </c>
      <c r="C14" s="8" t="s">
        <v>50</v>
      </c>
      <c r="D14" s="7" t="s">
        <v>51</v>
      </c>
      <c r="E14" s="7">
        <v>1</v>
      </c>
      <c r="F14" s="5" t="s">
        <v>52</v>
      </c>
    </row>
    <row r="15" spans="1:6" ht="204">
      <c r="A15" s="9">
        <v>14</v>
      </c>
      <c r="B15" s="8" t="s">
        <v>53</v>
      </c>
      <c r="C15" s="8" t="s">
        <v>54</v>
      </c>
      <c r="D15" s="7" t="s">
        <v>16</v>
      </c>
      <c r="E15" s="7">
        <v>1</v>
      </c>
      <c r="F15" s="5" t="s">
        <v>55</v>
      </c>
    </row>
    <row r="16" spans="1:6" ht="114.75">
      <c r="A16" s="9">
        <v>15</v>
      </c>
      <c r="B16" s="8" t="s">
        <v>56</v>
      </c>
      <c r="C16" s="8" t="s">
        <v>57</v>
      </c>
      <c r="D16" s="7" t="s">
        <v>16</v>
      </c>
      <c r="E16" s="7">
        <v>1</v>
      </c>
      <c r="F16" s="5" t="s">
        <v>58</v>
      </c>
    </row>
    <row r="17" spans="1:6" ht="165.75">
      <c r="A17" s="9">
        <v>16</v>
      </c>
      <c r="B17" s="8" t="s">
        <v>59</v>
      </c>
      <c r="C17" s="8" t="s">
        <v>60</v>
      </c>
      <c r="D17" s="7" t="s">
        <v>16</v>
      </c>
      <c r="E17" s="7">
        <v>1</v>
      </c>
      <c r="F17" s="5" t="s">
        <v>61</v>
      </c>
    </row>
    <row r="18" spans="1:6" ht="63.75">
      <c r="A18" s="9">
        <v>17</v>
      </c>
      <c r="B18" s="8" t="s">
        <v>62</v>
      </c>
      <c r="C18" s="8" t="s">
        <v>63</v>
      </c>
      <c r="D18" s="7" t="s">
        <v>16</v>
      </c>
      <c r="E18" s="7">
        <v>1</v>
      </c>
      <c r="F18" s="5" t="s">
        <v>64</v>
      </c>
    </row>
    <row r="19" spans="1:6" ht="63.75">
      <c r="A19" s="9">
        <v>18</v>
      </c>
      <c r="B19" s="8" t="s">
        <v>65</v>
      </c>
      <c r="C19" s="8" t="s">
        <v>66</v>
      </c>
      <c r="D19" s="7" t="s">
        <v>16</v>
      </c>
      <c r="E19" s="7">
        <v>1</v>
      </c>
      <c r="F19" s="5" t="s">
        <v>67</v>
      </c>
    </row>
    <row r="20" spans="1:6" ht="63.75">
      <c r="A20" s="9">
        <v>19</v>
      </c>
      <c r="B20" s="8" t="s">
        <v>68</v>
      </c>
      <c r="C20" s="8" t="s">
        <v>69</v>
      </c>
      <c r="D20" s="7" t="s">
        <v>16</v>
      </c>
      <c r="E20" s="7">
        <v>1</v>
      </c>
      <c r="F20" s="5" t="s">
        <v>70</v>
      </c>
    </row>
    <row r="21" spans="1:6" ht="229.5">
      <c r="A21" s="9">
        <v>20</v>
      </c>
      <c r="B21" s="8" t="s">
        <v>71</v>
      </c>
      <c r="C21" s="8" t="s">
        <v>72</v>
      </c>
      <c r="D21" s="7" t="s">
        <v>51</v>
      </c>
      <c r="E21" s="7">
        <v>1</v>
      </c>
      <c r="F21" s="5" t="s">
        <v>73</v>
      </c>
    </row>
    <row r="22" spans="1:6" ht="216.75">
      <c r="A22" s="9">
        <v>21</v>
      </c>
      <c r="B22" s="8" t="s">
        <v>74</v>
      </c>
      <c r="C22" s="8" t="s">
        <v>75</v>
      </c>
      <c r="D22" s="7" t="s">
        <v>76</v>
      </c>
      <c r="E22" s="7">
        <v>1</v>
      </c>
      <c r="F22" s="5" t="s">
        <v>77</v>
      </c>
    </row>
    <row r="23" spans="1:6" ht="102">
      <c r="A23" s="9">
        <v>22</v>
      </c>
      <c r="B23" s="8" t="s">
        <v>78</v>
      </c>
      <c r="C23" s="8" t="s">
        <v>79</v>
      </c>
      <c r="D23" s="7" t="s">
        <v>80</v>
      </c>
      <c r="E23" s="7">
        <v>1</v>
      </c>
      <c r="F23" s="5" t="s">
        <v>81</v>
      </c>
    </row>
    <row r="24" spans="1:6" ht="102">
      <c r="A24" s="9">
        <v>23</v>
      </c>
      <c r="B24" s="8" t="s">
        <v>82</v>
      </c>
      <c r="C24" s="8" t="s">
        <v>83</v>
      </c>
      <c r="D24" s="7" t="s">
        <v>80</v>
      </c>
      <c r="E24" s="7">
        <v>1</v>
      </c>
      <c r="F24" s="5" t="s">
        <v>84</v>
      </c>
    </row>
    <row r="25" spans="1:6" ht="114.75">
      <c r="A25" s="9">
        <v>24</v>
      </c>
      <c r="B25" s="8" t="s">
        <v>85</v>
      </c>
      <c r="C25" s="8" t="s">
        <v>86</v>
      </c>
      <c r="D25" s="7" t="s">
        <v>87</v>
      </c>
      <c r="E25" s="7">
        <v>1</v>
      </c>
      <c r="F25" s="5" t="s">
        <v>88</v>
      </c>
    </row>
    <row r="26" spans="1:6" ht="191.25">
      <c r="A26" s="9">
        <v>25</v>
      </c>
      <c r="B26" s="8" t="s">
        <v>89</v>
      </c>
      <c r="C26" s="8" t="s">
        <v>90</v>
      </c>
      <c r="D26" s="7" t="s">
        <v>16</v>
      </c>
      <c r="E26" s="7">
        <v>1</v>
      </c>
      <c r="F26" s="5" t="s">
        <v>91</v>
      </c>
    </row>
    <row r="27" spans="1:6" ht="76.5">
      <c r="A27" s="9">
        <v>26</v>
      </c>
      <c r="B27" s="8" t="s">
        <v>92</v>
      </c>
      <c r="C27" s="8" t="s">
        <v>93</v>
      </c>
      <c r="D27" s="7" t="s">
        <v>94</v>
      </c>
      <c r="E27" s="7">
        <v>1</v>
      </c>
      <c r="F27" s="5" t="s">
        <v>95</v>
      </c>
    </row>
    <row r="28" spans="1:6" ht="102">
      <c r="A28" s="9">
        <v>27</v>
      </c>
      <c r="B28" s="8" t="s">
        <v>96</v>
      </c>
      <c r="C28" s="8" t="s">
        <v>97</v>
      </c>
      <c r="D28" s="7" t="s">
        <v>98</v>
      </c>
      <c r="E28" s="7">
        <v>1</v>
      </c>
      <c r="F28" s="5" t="s">
        <v>99</v>
      </c>
    </row>
    <row r="29" spans="1:6" ht="76.5">
      <c r="A29" s="9">
        <v>28</v>
      </c>
      <c r="B29" s="8" t="s">
        <v>100</v>
      </c>
      <c r="C29" s="8" t="s">
        <v>101</v>
      </c>
      <c r="D29" s="7" t="s">
        <v>94</v>
      </c>
      <c r="E29" s="7">
        <v>1</v>
      </c>
      <c r="F29" s="5" t="s">
        <v>102</v>
      </c>
    </row>
    <row r="30" spans="1:6" ht="102">
      <c r="A30" s="9">
        <v>29</v>
      </c>
      <c r="B30" s="8" t="s">
        <v>103</v>
      </c>
      <c r="C30" s="8" t="s">
        <v>104</v>
      </c>
      <c r="D30" s="7" t="s">
        <v>98</v>
      </c>
      <c r="E30" s="7">
        <v>1</v>
      </c>
      <c r="F30" s="5" t="s">
        <v>105</v>
      </c>
    </row>
    <row r="31" spans="1:6" ht="76.5">
      <c r="A31" s="9">
        <v>30</v>
      </c>
      <c r="B31" s="8" t="s">
        <v>106</v>
      </c>
      <c r="C31" s="8" t="s">
        <v>107</v>
      </c>
      <c r="D31" s="7" t="s">
        <v>108</v>
      </c>
      <c r="E31" s="7">
        <v>1</v>
      </c>
      <c r="F31" s="5" t="s">
        <v>109</v>
      </c>
    </row>
    <row r="32" spans="1:6" ht="204">
      <c r="A32" s="9">
        <v>31</v>
      </c>
      <c r="B32" s="8" t="s">
        <v>110</v>
      </c>
      <c r="C32" s="8" t="s">
        <v>111</v>
      </c>
      <c r="D32" s="7" t="s">
        <v>51</v>
      </c>
      <c r="E32" s="7">
        <v>1</v>
      </c>
      <c r="F32" s="5" t="s">
        <v>112</v>
      </c>
    </row>
    <row r="33" spans="1:6" ht="76.5">
      <c r="A33" s="9">
        <v>32</v>
      </c>
      <c r="B33" s="8" t="s">
        <v>113</v>
      </c>
      <c r="C33" s="8" t="s">
        <v>114</v>
      </c>
      <c r="D33" s="7" t="s">
        <v>16</v>
      </c>
      <c r="E33" s="7">
        <v>1</v>
      </c>
      <c r="F33" s="5" t="s">
        <v>115</v>
      </c>
    </row>
    <row r="34" spans="1:6" ht="76.5">
      <c r="A34" s="9">
        <v>33</v>
      </c>
      <c r="B34" s="8" t="s">
        <v>116</v>
      </c>
      <c r="C34" s="8" t="s">
        <v>117</v>
      </c>
      <c r="D34" s="7" t="s">
        <v>16</v>
      </c>
      <c r="E34" s="7">
        <v>1</v>
      </c>
      <c r="F34" s="5" t="s">
        <v>118</v>
      </c>
    </row>
    <row r="35" spans="1:6" ht="165.75">
      <c r="A35" s="9">
        <v>34</v>
      </c>
      <c r="B35" s="8" t="s">
        <v>119</v>
      </c>
      <c r="C35" s="8" t="s">
        <v>120</v>
      </c>
      <c r="D35" s="7" t="s">
        <v>51</v>
      </c>
      <c r="E35" s="7">
        <v>1</v>
      </c>
      <c r="F35" s="5" t="s">
        <v>121</v>
      </c>
    </row>
    <row r="36" spans="1:6" ht="178.5">
      <c r="A36" s="9">
        <v>35</v>
      </c>
      <c r="B36" s="8" t="s">
        <v>122</v>
      </c>
      <c r="C36" s="8" t="s">
        <v>123</v>
      </c>
      <c r="D36" s="7" t="s">
        <v>16</v>
      </c>
      <c r="E36" s="7">
        <v>1</v>
      </c>
      <c r="F36" s="5" t="s">
        <v>124</v>
      </c>
    </row>
    <row r="37" spans="1:6" ht="140.25">
      <c r="A37" s="9">
        <v>36</v>
      </c>
      <c r="B37" s="8" t="s">
        <v>125</v>
      </c>
      <c r="C37" s="8" t="s">
        <v>126</v>
      </c>
      <c r="D37" s="7" t="s">
        <v>34</v>
      </c>
      <c r="E37" s="7">
        <v>1</v>
      </c>
      <c r="F37" s="5" t="s">
        <v>127</v>
      </c>
    </row>
    <row r="38" spans="1:6" ht="63.75">
      <c r="A38" s="9">
        <v>37</v>
      </c>
      <c r="B38" s="8" t="s">
        <v>128</v>
      </c>
      <c r="C38" s="8" t="s">
        <v>129</v>
      </c>
      <c r="D38" s="7" t="s">
        <v>16</v>
      </c>
      <c r="E38" s="7">
        <v>1</v>
      </c>
      <c r="F38" s="5" t="s">
        <v>130</v>
      </c>
    </row>
    <row r="39" spans="1:6" ht="63.75">
      <c r="A39" s="9">
        <v>38</v>
      </c>
      <c r="B39" s="8" t="s">
        <v>131</v>
      </c>
      <c r="C39" s="8" t="s">
        <v>132</v>
      </c>
      <c r="D39" s="7" t="s">
        <v>108</v>
      </c>
      <c r="E39" s="7">
        <v>1</v>
      </c>
      <c r="F39" s="5" t="s">
        <v>133</v>
      </c>
    </row>
    <row r="40" spans="1:6" ht="382.5">
      <c r="A40" s="9">
        <v>39</v>
      </c>
      <c r="B40" s="8" t="s">
        <v>134</v>
      </c>
      <c r="C40" s="8" t="s">
        <v>135</v>
      </c>
      <c r="D40" s="7" t="s">
        <v>12</v>
      </c>
      <c r="E40" s="7">
        <v>1</v>
      </c>
      <c r="F40" s="5" t="s">
        <v>136</v>
      </c>
    </row>
    <row r="41" spans="1:6" ht="102">
      <c r="A41" s="9">
        <v>40</v>
      </c>
      <c r="B41" s="8" t="s">
        <v>137</v>
      </c>
      <c r="C41" s="8" t="s">
        <v>138</v>
      </c>
      <c r="D41" s="7" t="s">
        <v>16</v>
      </c>
      <c r="E41" s="7">
        <v>1</v>
      </c>
      <c r="F41" s="5" t="s">
        <v>139</v>
      </c>
    </row>
    <row r="42" spans="1:6" ht="102">
      <c r="A42" s="9">
        <v>41</v>
      </c>
      <c r="B42" s="8" t="s">
        <v>140</v>
      </c>
      <c r="C42" s="8" t="s">
        <v>141</v>
      </c>
      <c r="D42" s="7" t="s">
        <v>108</v>
      </c>
      <c r="E42" s="7">
        <v>1</v>
      </c>
      <c r="F42" s="5" t="s">
        <v>142</v>
      </c>
    </row>
    <row r="43" spans="1:6" ht="76.5">
      <c r="A43" s="9">
        <v>42</v>
      </c>
      <c r="B43" s="8" t="s">
        <v>143</v>
      </c>
      <c r="C43" s="8" t="s">
        <v>144</v>
      </c>
      <c r="D43" s="7" t="s">
        <v>108</v>
      </c>
      <c r="E43" s="7">
        <v>1</v>
      </c>
      <c r="F43" s="5" t="s">
        <v>145</v>
      </c>
    </row>
    <row r="44" spans="1:6" ht="382.5">
      <c r="A44" s="9">
        <v>43</v>
      </c>
      <c r="B44" s="8" t="s">
        <v>146</v>
      </c>
      <c r="C44" s="8" t="s">
        <v>147</v>
      </c>
      <c r="D44" s="7" t="s">
        <v>12</v>
      </c>
      <c r="E44" s="7">
        <v>1</v>
      </c>
      <c r="F44" s="5" t="s">
        <v>148</v>
      </c>
    </row>
    <row r="45" spans="1:6" ht="382.5">
      <c r="A45" s="9">
        <v>44</v>
      </c>
      <c r="B45" s="8" t="s">
        <v>149</v>
      </c>
      <c r="C45" s="8" t="s">
        <v>150</v>
      </c>
      <c r="D45" s="7" t="s">
        <v>20</v>
      </c>
      <c r="E45" s="7">
        <v>5</v>
      </c>
      <c r="F45" s="5" t="s">
        <v>151</v>
      </c>
    </row>
    <row r="46" spans="1:6" ht="140.25">
      <c r="A46" s="9">
        <v>45</v>
      </c>
      <c r="B46" s="8" t="s">
        <v>152</v>
      </c>
      <c r="C46" s="8" t="s">
        <v>153</v>
      </c>
      <c r="D46" s="7" t="s">
        <v>94</v>
      </c>
      <c r="E46" s="7">
        <v>20</v>
      </c>
      <c r="F46" s="5" t="s">
        <v>154</v>
      </c>
    </row>
    <row r="47" spans="1:6" ht="409.5">
      <c r="A47" s="9">
        <v>46</v>
      </c>
      <c r="B47" s="8" t="s">
        <v>155</v>
      </c>
      <c r="C47" s="8" t="s">
        <v>156</v>
      </c>
      <c r="D47" s="7" t="s">
        <v>157</v>
      </c>
      <c r="E47" s="7">
        <v>20</v>
      </c>
      <c r="F47" s="5" t="s">
        <v>158</v>
      </c>
    </row>
    <row r="48" spans="1:6" ht="76.5">
      <c r="A48" s="9">
        <v>47</v>
      </c>
      <c r="B48" s="8" t="s">
        <v>159</v>
      </c>
      <c r="C48" s="8" t="s">
        <v>160</v>
      </c>
      <c r="D48" s="7" t="s">
        <v>8</v>
      </c>
      <c r="E48" s="7">
        <v>1</v>
      </c>
      <c r="F48" s="5" t="s">
        <v>161</v>
      </c>
    </row>
    <row r="49" spans="1:6" ht="102">
      <c r="A49" s="9">
        <v>48</v>
      </c>
      <c r="B49" s="11" t="s">
        <v>162</v>
      </c>
      <c r="C49" s="8" t="s">
        <v>163</v>
      </c>
      <c r="D49" s="3" t="s">
        <v>164</v>
      </c>
      <c r="E49" s="3">
        <v>1</v>
      </c>
      <c r="F49" s="2" t="s">
        <v>165</v>
      </c>
    </row>
    <row r="50" spans="1:6" ht="229.5">
      <c r="A50" s="9">
        <v>49</v>
      </c>
      <c r="B50" s="8" t="s">
        <v>166</v>
      </c>
      <c r="C50" s="8" t="s">
        <v>167</v>
      </c>
      <c r="D50" s="7" t="s">
        <v>16</v>
      </c>
      <c r="E50" s="7">
        <v>18</v>
      </c>
      <c r="F50" s="5" t="s">
        <v>168</v>
      </c>
    </row>
    <row r="51" spans="1:6" ht="382.5">
      <c r="A51" s="9">
        <v>50</v>
      </c>
      <c r="B51" s="8" t="s">
        <v>169</v>
      </c>
      <c r="C51" s="8" t="s">
        <v>170</v>
      </c>
      <c r="D51" s="7" t="s">
        <v>51</v>
      </c>
      <c r="E51" s="7">
        <v>1</v>
      </c>
      <c r="F51" s="5" t="s">
        <v>171</v>
      </c>
    </row>
    <row r="52" spans="1:6" ht="255">
      <c r="A52" s="9">
        <v>51</v>
      </c>
      <c r="B52" s="8" t="s">
        <v>172</v>
      </c>
      <c r="C52" s="8" t="s">
        <v>173</v>
      </c>
      <c r="D52" s="7" t="s">
        <v>16</v>
      </c>
      <c r="E52" s="7">
        <v>12</v>
      </c>
      <c r="F52" s="5" t="s">
        <v>174</v>
      </c>
    </row>
    <row r="53" spans="1:6" ht="280.5">
      <c r="A53" s="9">
        <v>52</v>
      </c>
      <c r="B53" s="8" t="s">
        <v>175</v>
      </c>
      <c r="C53" s="8" t="s">
        <v>176</v>
      </c>
      <c r="D53" s="7" t="s">
        <v>16</v>
      </c>
      <c r="E53" s="7">
        <v>12</v>
      </c>
      <c r="F53" s="5" t="s">
        <v>177</v>
      </c>
    </row>
    <row r="54" spans="1:6" ht="51">
      <c r="A54" s="9">
        <v>53</v>
      </c>
      <c r="B54" s="8" t="s">
        <v>178</v>
      </c>
      <c r="C54" s="8" t="s">
        <v>179</v>
      </c>
      <c r="D54" s="7" t="s">
        <v>180</v>
      </c>
      <c r="E54" s="7">
        <v>1</v>
      </c>
      <c r="F54" s="5" t="s">
        <v>181</v>
      </c>
    </row>
    <row r="55" spans="1:6" ht="102">
      <c r="A55" s="9">
        <v>54</v>
      </c>
      <c r="B55" s="8" t="s">
        <v>182</v>
      </c>
      <c r="C55" s="8" t="s">
        <v>183</v>
      </c>
      <c r="D55" s="7" t="s">
        <v>184</v>
      </c>
      <c r="E55" s="7">
        <v>1</v>
      </c>
      <c r="F55" s="10" t="s">
        <v>185</v>
      </c>
    </row>
    <row r="56" spans="1:6" ht="63.75">
      <c r="A56" s="9">
        <v>55</v>
      </c>
      <c r="B56" s="8" t="s">
        <v>186</v>
      </c>
      <c r="C56" s="8" t="s">
        <v>186</v>
      </c>
      <c r="D56" s="7" t="s">
        <v>187</v>
      </c>
      <c r="E56" s="7">
        <v>1</v>
      </c>
      <c r="F56" s="5" t="s">
        <v>188</v>
      </c>
    </row>
    <row r="57" spans="1:6" ht="63.75">
      <c r="A57" s="9">
        <v>56</v>
      </c>
      <c r="B57" s="8" t="s">
        <v>189</v>
      </c>
      <c r="C57" s="8" t="s">
        <v>189</v>
      </c>
      <c r="D57" s="7" t="s">
        <v>187</v>
      </c>
      <c r="E57" s="7">
        <v>1</v>
      </c>
      <c r="F57" s="5" t="s">
        <v>190</v>
      </c>
    </row>
    <row r="58" spans="1:6" ht="63.75">
      <c r="A58" s="9">
        <v>57</v>
      </c>
      <c r="B58" s="8" t="s">
        <v>191</v>
      </c>
      <c r="C58" s="8" t="s">
        <v>191</v>
      </c>
      <c r="D58" s="7" t="s">
        <v>187</v>
      </c>
      <c r="E58" s="7">
        <v>1</v>
      </c>
      <c r="F58" s="5" t="s">
        <v>192</v>
      </c>
    </row>
    <row r="59" spans="1:6" ht="89.25">
      <c r="A59" s="9">
        <v>58</v>
      </c>
      <c r="B59" s="8" t="s">
        <v>193</v>
      </c>
      <c r="C59" s="8" t="s">
        <v>194</v>
      </c>
      <c r="D59" s="7" t="s">
        <v>108</v>
      </c>
      <c r="E59" s="6">
        <v>1</v>
      </c>
      <c r="F59" s="5" t="s">
        <v>195</v>
      </c>
    </row>
    <row r="60" spans="1:6" ht="63.75">
      <c r="A60" s="9">
        <v>59</v>
      </c>
      <c r="B60" s="8" t="s">
        <v>196</v>
      </c>
      <c r="C60" s="8" t="s">
        <v>197</v>
      </c>
      <c r="D60" s="7" t="s">
        <v>198</v>
      </c>
      <c r="E60" s="6">
        <v>1</v>
      </c>
      <c r="F60" s="5" t="s">
        <v>199</v>
      </c>
    </row>
    <row r="61" spans="1:6" ht="114.75">
      <c r="A61" s="9">
        <v>60</v>
      </c>
      <c r="B61" s="8" t="s">
        <v>200</v>
      </c>
      <c r="C61" s="8" t="s">
        <v>201</v>
      </c>
      <c r="D61" s="7" t="s">
        <v>16</v>
      </c>
      <c r="E61" s="6">
        <v>1</v>
      </c>
      <c r="F61" s="5" t="s">
        <v>202</v>
      </c>
    </row>
    <row r="62" spans="1:6" ht="140.25">
      <c r="A62" s="9">
        <v>61</v>
      </c>
      <c r="B62" s="8" t="s">
        <v>203</v>
      </c>
      <c r="C62" s="8" t="s">
        <v>204</v>
      </c>
      <c r="D62" s="7" t="s">
        <v>205</v>
      </c>
      <c r="E62" s="6">
        <v>1</v>
      </c>
      <c r="F62" s="5" t="s">
        <v>206</v>
      </c>
    </row>
    <row r="63" spans="1:6" ht="395.25">
      <c r="A63" s="4">
        <f>A62+1</f>
        <v>62</v>
      </c>
      <c r="B63" s="2" t="s">
        <v>207</v>
      </c>
      <c r="C63" s="8" t="s">
        <v>208</v>
      </c>
      <c r="D63" s="3" t="s">
        <v>209</v>
      </c>
      <c r="E63" s="3">
        <v>1</v>
      </c>
      <c r="F63" s="2" t="s">
        <v>210</v>
      </c>
    </row>
  </sheetData>
  <pageMargins left="0.7" right="0.7" top="0.75" bottom="0.75" header="0.3" footer="0.3"/>
  <pageSetup paperSize="8" scale="75" fitToHeight="0" orientation="landscape" r:id="rId1"/>
  <headerFooter>
    <oddHeader>&amp;LNational Admitted Patient Care Specifications 2024-25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4543-DA66-4F23-B197-2490AA497826}">
  <dimension ref="A1:C60"/>
  <sheetViews>
    <sheetView zoomScaleNormal="100" workbookViewId="0">
      <selection activeCell="A8" sqref="A8"/>
    </sheetView>
  </sheetViews>
  <sheetFormatPr defaultRowHeight="15"/>
  <cols>
    <col min="1" max="1" width="72.28515625" bestFit="1" customWidth="1"/>
    <col min="2" max="2" width="58.28515625" bestFit="1" customWidth="1"/>
    <col min="3" max="3" width="59.7109375" bestFit="1" customWidth="1"/>
  </cols>
  <sheetData>
    <row r="1" spans="1:3">
      <c r="A1" s="13" t="s">
        <v>211</v>
      </c>
      <c r="B1" s="13" t="s">
        <v>212</v>
      </c>
      <c r="C1" s="13" t="s">
        <v>213</v>
      </c>
    </row>
    <row r="2" spans="1:3">
      <c r="A2" t="s">
        <v>214</v>
      </c>
      <c r="B2" s="14" t="s">
        <v>7</v>
      </c>
      <c r="C2" s="14" t="s">
        <v>215</v>
      </c>
    </row>
    <row r="3" spans="1:3">
      <c r="A3" t="s">
        <v>216</v>
      </c>
      <c r="B3" s="14" t="s">
        <v>11</v>
      </c>
      <c r="C3" s="14" t="s">
        <v>217</v>
      </c>
    </row>
    <row r="4" spans="1:3">
      <c r="A4" s="14" t="s">
        <v>218</v>
      </c>
      <c r="B4" s="14" t="s">
        <v>15</v>
      </c>
      <c r="C4" s="14" t="s">
        <v>219</v>
      </c>
    </row>
    <row r="5" spans="1:3">
      <c r="A5" t="s">
        <v>220</v>
      </c>
      <c r="B5" t="s">
        <v>19</v>
      </c>
      <c r="C5" s="14" t="s">
        <v>221</v>
      </c>
    </row>
    <row r="6" spans="1:3">
      <c r="A6" t="s">
        <v>23</v>
      </c>
      <c r="B6" s="8" t="s">
        <v>23</v>
      </c>
      <c r="C6" s="14" t="s">
        <v>222</v>
      </c>
    </row>
    <row r="7" spans="1:3">
      <c r="A7" t="s">
        <v>26</v>
      </c>
      <c r="B7" s="14" t="s">
        <v>26</v>
      </c>
      <c r="C7" s="14" t="s">
        <v>219</v>
      </c>
    </row>
    <row r="8" spans="1:3">
      <c r="A8" s="14" t="s">
        <v>223</v>
      </c>
      <c r="B8" t="s">
        <v>29</v>
      </c>
      <c r="C8" s="14" t="s">
        <v>222</v>
      </c>
    </row>
    <row r="9" spans="1:3">
      <c r="A9" t="s">
        <v>224</v>
      </c>
      <c r="B9" t="s">
        <v>33</v>
      </c>
      <c r="C9" s="14" t="s">
        <v>219</v>
      </c>
    </row>
    <row r="10" spans="1:3">
      <c r="A10" s="14" t="s">
        <v>225</v>
      </c>
      <c r="B10" t="s">
        <v>37</v>
      </c>
      <c r="C10" s="14" t="s">
        <v>219</v>
      </c>
    </row>
    <row r="11" spans="1:3">
      <c r="A11" s="14" t="s">
        <v>226</v>
      </c>
      <c r="B11" t="s">
        <v>40</v>
      </c>
      <c r="C11" s="14" t="s">
        <v>219</v>
      </c>
    </row>
    <row r="12" spans="1:3">
      <c r="A12" s="14" t="s">
        <v>227</v>
      </c>
      <c r="B12" t="s">
        <v>43</v>
      </c>
      <c r="C12" s="14" t="s">
        <v>219</v>
      </c>
    </row>
    <row r="13" spans="1:3">
      <c r="A13" s="14" t="s">
        <v>228</v>
      </c>
      <c r="B13" t="s">
        <v>47</v>
      </c>
      <c r="C13" s="14" t="s">
        <v>229</v>
      </c>
    </row>
    <row r="14" spans="1:3">
      <c r="A14" s="14" t="s">
        <v>230</v>
      </c>
      <c r="B14" t="s">
        <v>50</v>
      </c>
      <c r="C14" s="14" t="s">
        <v>219</v>
      </c>
    </row>
    <row r="15" spans="1:3">
      <c r="A15" s="14" t="s">
        <v>231</v>
      </c>
      <c r="B15" t="s">
        <v>54</v>
      </c>
      <c r="C15" s="14" t="s">
        <v>219</v>
      </c>
    </row>
    <row r="16" spans="1:3">
      <c r="A16" s="14" t="s">
        <v>232</v>
      </c>
      <c r="B16" t="s">
        <v>57</v>
      </c>
      <c r="C16" s="14" t="s">
        <v>219</v>
      </c>
    </row>
    <row r="17" spans="1:3">
      <c r="A17" s="14" t="s">
        <v>233</v>
      </c>
      <c r="B17" t="s">
        <v>60</v>
      </c>
      <c r="C17" s="14" t="s">
        <v>219</v>
      </c>
    </row>
    <row r="18" spans="1:3">
      <c r="A18" s="14" t="s">
        <v>234</v>
      </c>
      <c r="B18" t="s">
        <v>63</v>
      </c>
      <c r="C18" s="14" t="s">
        <v>219</v>
      </c>
    </row>
    <row r="19" spans="1:3">
      <c r="A19" s="14" t="s">
        <v>235</v>
      </c>
      <c r="B19" t="s">
        <v>66</v>
      </c>
      <c r="C19" s="14" t="s">
        <v>219</v>
      </c>
    </row>
    <row r="20" spans="1:3">
      <c r="A20" t="s">
        <v>236</v>
      </c>
      <c r="B20" t="s">
        <v>69</v>
      </c>
      <c r="C20" s="14" t="s">
        <v>219</v>
      </c>
    </row>
    <row r="21" spans="1:3">
      <c r="A21" t="s">
        <v>237</v>
      </c>
      <c r="B21" t="s">
        <v>72</v>
      </c>
      <c r="C21" s="14" t="s">
        <v>219</v>
      </c>
    </row>
    <row r="22" spans="1:3">
      <c r="A22" t="s">
        <v>238</v>
      </c>
      <c r="B22" t="s">
        <v>75</v>
      </c>
      <c r="C22" s="14" t="s">
        <v>239</v>
      </c>
    </row>
    <row r="23" spans="1:3">
      <c r="A23" t="s">
        <v>240</v>
      </c>
      <c r="B23" t="s">
        <v>79</v>
      </c>
      <c r="C23" s="14" t="s">
        <v>219</v>
      </c>
    </row>
    <row r="24" spans="1:3">
      <c r="A24" t="s">
        <v>241</v>
      </c>
      <c r="B24" t="s">
        <v>83</v>
      </c>
      <c r="C24" s="14" t="s">
        <v>219</v>
      </c>
    </row>
    <row r="25" spans="1:3">
      <c r="A25" t="s">
        <v>242</v>
      </c>
      <c r="B25" t="s">
        <v>86</v>
      </c>
      <c r="C25" s="14" t="s">
        <v>219</v>
      </c>
    </row>
    <row r="26" spans="1:3">
      <c r="A26" t="s">
        <v>243</v>
      </c>
      <c r="B26" t="s">
        <v>90</v>
      </c>
      <c r="C26" s="14" t="s">
        <v>219</v>
      </c>
    </row>
    <row r="27" spans="1:3">
      <c r="A27" t="s">
        <v>244</v>
      </c>
      <c r="B27" t="s">
        <v>93</v>
      </c>
      <c r="C27" s="14" t="s">
        <v>245</v>
      </c>
    </row>
    <row r="28" spans="1:3">
      <c r="A28" t="s">
        <v>246</v>
      </c>
      <c r="B28" t="s">
        <v>97</v>
      </c>
      <c r="C28" s="14" t="s">
        <v>245</v>
      </c>
    </row>
    <row r="29" spans="1:3">
      <c r="A29" t="s">
        <v>247</v>
      </c>
      <c r="B29" t="s">
        <v>101</v>
      </c>
      <c r="C29" s="14" t="s">
        <v>245</v>
      </c>
    </row>
    <row r="30" spans="1:3">
      <c r="A30" t="s">
        <v>248</v>
      </c>
      <c r="B30" t="s">
        <v>104</v>
      </c>
      <c r="C30" s="14" t="s">
        <v>245</v>
      </c>
    </row>
    <row r="31" spans="1:3">
      <c r="A31" t="s">
        <v>249</v>
      </c>
      <c r="B31" t="s">
        <v>107</v>
      </c>
      <c r="C31" s="14" t="s">
        <v>219</v>
      </c>
    </row>
    <row r="32" spans="1:3">
      <c r="A32" t="s">
        <v>250</v>
      </c>
      <c r="B32" t="s">
        <v>111</v>
      </c>
      <c r="C32" s="14" t="s">
        <v>219</v>
      </c>
    </row>
    <row r="33" spans="1:3">
      <c r="A33" t="s">
        <v>251</v>
      </c>
      <c r="B33" t="s">
        <v>114</v>
      </c>
      <c r="C33" s="14" t="s">
        <v>219</v>
      </c>
    </row>
    <row r="34" spans="1:3">
      <c r="A34" t="s">
        <v>252</v>
      </c>
      <c r="B34" t="s">
        <v>117</v>
      </c>
      <c r="C34" s="14" t="s">
        <v>219</v>
      </c>
    </row>
    <row r="35" spans="1:3">
      <c r="A35" t="s">
        <v>253</v>
      </c>
      <c r="B35" t="s">
        <v>120</v>
      </c>
      <c r="C35" s="14" t="s">
        <v>219</v>
      </c>
    </row>
    <row r="36" spans="1:3">
      <c r="A36" t="s">
        <v>254</v>
      </c>
      <c r="B36" t="s">
        <v>123</v>
      </c>
      <c r="C36" s="14" t="s">
        <v>219</v>
      </c>
    </row>
    <row r="37" spans="1:3">
      <c r="A37" t="s">
        <v>126</v>
      </c>
      <c r="B37" t="s">
        <v>126</v>
      </c>
      <c r="C37" t="s">
        <v>255</v>
      </c>
    </row>
    <row r="38" spans="1:3">
      <c r="A38" t="s">
        <v>256</v>
      </c>
      <c r="B38" t="s">
        <v>129</v>
      </c>
      <c r="C38" s="14" t="s">
        <v>219</v>
      </c>
    </row>
    <row r="39" spans="1:3">
      <c r="A39" t="s">
        <v>257</v>
      </c>
      <c r="B39" t="s">
        <v>132</v>
      </c>
      <c r="C39" s="14" t="s">
        <v>219</v>
      </c>
    </row>
    <row r="40" spans="1:3">
      <c r="A40" t="s">
        <v>258</v>
      </c>
      <c r="B40" t="s">
        <v>135</v>
      </c>
      <c r="C40" s="14" t="s">
        <v>219</v>
      </c>
    </row>
    <row r="41" spans="1:3">
      <c r="A41" t="s">
        <v>259</v>
      </c>
      <c r="B41" t="s">
        <v>138</v>
      </c>
      <c r="C41" s="14" t="s">
        <v>219</v>
      </c>
    </row>
    <row r="42" spans="1:3">
      <c r="A42" t="s">
        <v>260</v>
      </c>
      <c r="B42" t="s">
        <v>141</v>
      </c>
      <c r="C42" s="14" t="s">
        <v>219</v>
      </c>
    </row>
    <row r="43" spans="1:3">
      <c r="A43" t="s">
        <v>261</v>
      </c>
      <c r="B43" t="s">
        <v>144</v>
      </c>
      <c r="C43" s="14" t="s">
        <v>219</v>
      </c>
    </row>
    <row r="44" spans="1:3">
      <c r="A44" t="s">
        <v>262</v>
      </c>
      <c r="B44" t="s">
        <v>147</v>
      </c>
      <c r="C44" s="14" t="s">
        <v>219</v>
      </c>
    </row>
    <row r="45" spans="1:3">
      <c r="A45" t="s">
        <v>263</v>
      </c>
      <c r="B45" t="s">
        <v>264</v>
      </c>
      <c r="C45" s="14" t="s">
        <v>219</v>
      </c>
    </row>
    <row r="46" spans="1:3">
      <c r="A46" t="s">
        <v>265</v>
      </c>
      <c r="B46" t="s">
        <v>266</v>
      </c>
      <c r="C46" t="s">
        <v>267</v>
      </c>
    </row>
    <row r="47" spans="1:3">
      <c r="A47" t="s">
        <v>155</v>
      </c>
      <c r="B47" t="s">
        <v>156</v>
      </c>
      <c r="C47" t="s">
        <v>268</v>
      </c>
    </row>
    <row r="48" spans="1:3">
      <c r="A48" t="s">
        <v>269</v>
      </c>
      <c r="B48" t="s">
        <v>160</v>
      </c>
      <c r="C48" s="14" t="s">
        <v>270</v>
      </c>
    </row>
    <row r="49" spans="1:3">
      <c r="A49" t="s">
        <v>271</v>
      </c>
      <c r="B49" t="s">
        <v>163</v>
      </c>
      <c r="C49" s="14" t="s">
        <v>219</v>
      </c>
    </row>
    <row r="50" spans="1:3">
      <c r="A50" t="s">
        <v>272</v>
      </c>
      <c r="B50" t="s">
        <v>167</v>
      </c>
      <c r="C50" t="s">
        <v>255</v>
      </c>
    </row>
    <row r="51" spans="1:3">
      <c r="A51" t="s">
        <v>273</v>
      </c>
      <c r="B51" t="s">
        <v>170</v>
      </c>
      <c r="C51" t="s">
        <v>255</v>
      </c>
    </row>
    <row r="52" spans="1:3">
      <c r="A52" t="s">
        <v>274</v>
      </c>
      <c r="B52" t="s">
        <v>173</v>
      </c>
      <c r="C52" t="s">
        <v>255</v>
      </c>
    </row>
    <row r="53" spans="1:3">
      <c r="A53" t="s">
        <v>275</v>
      </c>
      <c r="B53" t="s">
        <v>176</v>
      </c>
      <c r="C53" t="s">
        <v>255</v>
      </c>
    </row>
    <row r="54" spans="1:3">
      <c r="A54" t="s">
        <v>178</v>
      </c>
      <c r="B54" s="14" t="s">
        <v>179</v>
      </c>
      <c r="C54" t="s">
        <v>270</v>
      </c>
    </row>
    <row r="55" spans="1:3">
      <c r="A55" t="s">
        <v>182</v>
      </c>
      <c r="B55" t="s">
        <v>183</v>
      </c>
      <c r="C55" s="14" t="s">
        <v>219</v>
      </c>
    </row>
    <row r="56" spans="1:3">
      <c r="A56" t="s">
        <v>193</v>
      </c>
      <c r="B56" t="s">
        <v>194</v>
      </c>
      <c r="C56" s="14" t="s">
        <v>219</v>
      </c>
    </row>
    <row r="57" spans="1:3">
      <c r="A57" s="14" t="s">
        <v>276</v>
      </c>
      <c r="B57" s="14" t="s">
        <v>197</v>
      </c>
      <c r="C57" s="14" t="s">
        <v>222</v>
      </c>
    </row>
    <row r="58" spans="1:3">
      <c r="A58" t="s">
        <v>277</v>
      </c>
      <c r="B58" t="s">
        <v>201</v>
      </c>
      <c r="C58" s="14" t="s">
        <v>219</v>
      </c>
    </row>
    <row r="59" spans="1:3">
      <c r="A59" t="s">
        <v>278</v>
      </c>
      <c r="B59" t="s">
        <v>204</v>
      </c>
      <c r="C59" s="14" t="s">
        <v>219</v>
      </c>
    </row>
    <row r="60" spans="1:3">
      <c r="A60" t="s">
        <v>279</v>
      </c>
      <c r="B60" t="s">
        <v>208</v>
      </c>
      <c r="C60" s="14" t="s">
        <v>219</v>
      </c>
    </row>
  </sheetData>
  <autoFilter ref="A1:C60" xr:uid="{C9D54543-DA66-4F23-B197-2490AA497826}"/>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61BE-9F2D-491F-AF20-36410D10267B}">
  <dimension ref="A1:G31"/>
  <sheetViews>
    <sheetView tabSelected="1" workbookViewId="0">
      <selection activeCell="C20" sqref="C20"/>
    </sheetView>
  </sheetViews>
  <sheetFormatPr defaultRowHeight="14.25"/>
  <cols>
    <col min="1" max="1" width="9.140625" style="15"/>
    <col min="2" max="2" width="40.42578125" style="15" bestFit="1" customWidth="1"/>
    <col min="3" max="3" width="27.140625" style="15" bestFit="1" customWidth="1"/>
    <col min="4" max="5" width="9.140625" style="15"/>
    <col min="6" max="6" width="9.85546875" style="15" customWidth="1"/>
    <col min="7" max="7" width="28.28515625" style="15" bestFit="1" customWidth="1"/>
    <col min="8" max="16384" width="9.140625" style="15"/>
  </cols>
  <sheetData>
    <row r="1" spans="1:7" ht="38.25">
      <c r="A1" s="12" t="s">
        <v>0</v>
      </c>
      <c r="B1" s="12" t="s">
        <v>1</v>
      </c>
      <c r="C1" s="12" t="s">
        <v>2</v>
      </c>
      <c r="D1" s="12" t="s">
        <v>3</v>
      </c>
      <c r="E1" s="12" t="s">
        <v>4</v>
      </c>
      <c r="F1" s="12" t="s">
        <v>5</v>
      </c>
      <c r="G1" s="19" t="s">
        <v>213</v>
      </c>
    </row>
    <row r="2" spans="1:7">
      <c r="A2" s="16">
        <v>1</v>
      </c>
      <c r="B2" s="17" t="s">
        <v>280</v>
      </c>
      <c r="C2" s="18" t="s">
        <v>281</v>
      </c>
      <c r="G2" s="15" t="s">
        <v>282</v>
      </c>
    </row>
    <row r="3" spans="1:7">
      <c r="A3" s="17">
        <f>A2+1</f>
        <v>2</v>
      </c>
      <c r="B3" s="18" t="s">
        <v>283</v>
      </c>
      <c r="C3" s="18" t="s">
        <v>284</v>
      </c>
      <c r="G3" s="15" t="s">
        <v>282</v>
      </c>
    </row>
    <row r="4" spans="1:7">
      <c r="A4" s="17">
        <f t="shared" ref="A4:A31" si="0">A3+1</f>
        <v>3</v>
      </c>
      <c r="B4" s="18" t="s">
        <v>285</v>
      </c>
      <c r="C4" s="18" t="s">
        <v>286</v>
      </c>
      <c r="G4" s="15" t="s">
        <v>219</v>
      </c>
    </row>
    <row r="5" spans="1:7">
      <c r="A5" s="17">
        <f t="shared" si="0"/>
        <v>4</v>
      </c>
      <c r="B5" s="18" t="s">
        <v>287</v>
      </c>
      <c r="C5" s="18" t="s">
        <v>288</v>
      </c>
      <c r="G5" s="15" t="s">
        <v>219</v>
      </c>
    </row>
    <row r="6" spans="1:7">
      <c r="A6" s="17">
        <f t="shared" si="0"/>
        <v>5</v>
      </c>
      <c r="B6" s="18" t="s">
        <v>289</v>
      </c>
      <c r="C6" s="18" t="s">
        <v>290</v>
      </c>
      <c r="G6" s="15" t="s">
        <v>219</v>
      </c>
    </row>
    <row r="7" spans="1:7">
      <c r="A7" s="17">
        <f t="shared" si="0"/>
        <v>6</v>
      </c>
      <c r="B7" s="18" t="s">
        <v>291</v>
      </c>
      <c r="C7" s="18" t="s">
        <v>292</v>
      </c>
      <c r="G7" s="15" t="s">
        <v>293</v>
      </c>
    </row>
    <row r="8" spans="1:7">
      <c r="A8" s="17">
        <f t="shared" si="0"/>
        <v>7</v>
      </c>
      <c r="B8" s="18" t="s">
        <v>294</v>
      </c>
      <c r="C8" s="18" t="s">
        <v>295</v>
      </c>
      <c r="G8" s="15" t="s">
        <v>219</v>
      </c>
    </row>
    <row r="9" spans="1:7">
      <c r="A9" s="17">
        <f t="shared" si="0"/>
        <v>8</v>
      </c>
      <c r="B9" s="18" t="s">
        <v>296</v>
      </c>
      <c r="C9" s="18" t="s">
        <v>297</v>
      </c>
      <c r="G9" s="15" t="s">
        <v>293</v>
      </c>
    </row>
    <row r="10" spans="1:7">
      <c r="A10" s="17">
        <f t="shared" si="0"/>
        <v>9</v>
      </c>
      <c r="B10" s="18" t="s">
        <v>298</v>
      </c>
      <c r="C10" s="18" t="s">
        <v>299</v>
      </c>
      <c r="G10" s="15" t="s">
        <v>219</v>
      </c>
    </row>
    <row r="11" spans="1:7">
      <c r="A11" s="17">
        <f t="shared" si="0"/>
        <v>10</v>
      </c>
      <c r="B11" s="18" t="s">
        <v>300</v>
      </c>
      <c r="C11" s="18" t="s">
        <v>301</v>
      </c>
      <c r="G11" s="15" t="s">
        <v>302</v>
      </c>
    </row>
    <row r="12" spans="1:7">
      <c r="A12" s="17">
        <f t="shared" si="0"/>
        <v>11</v>
      </c>
      <c r="B12" s="18" t="s">
        <v>303</v>
      </c>
      <c r="C12" s="18" t="s">
        <v>304</v>
      </c>
      <c r="G12" s="15" t="s">
        <v>229</v>
      </c>
    </row>
    <row r="13" spans="1:7">
      <c r="A13" s="17">
        <f t="shared" si="0"/>
        <v>12</v>
      </c>
      <c r="B13" s="18" t="s">
        <v>305</v>
      </c>
      <c r="C13" s="18" t="s">
        <v>306</v>
      </c>
      <c r="G13" s="15" t="s">
        <v>307</v>
      </c>
    </row>
    <row r="14" spans="1:7">
      <c r="A14" s="17">
        <f t="shared" si="0"/>
        <v>13</v>
      </c>
      <c r="B14" s="18" t="s">
        <v>308</v>
      </c>
      <c r="C14" s="18" t="s">
        <v>309</v>
      </c>
      <c r="G14" s="15" t="s">
        <v>219</v>
      </c>
    </row>
    <row r="15" spans="1:7">
      <c r="A15" s="17">
        <f t="shared" si="0"/>
        <v>14</v>
      </c>
      <c r="B15" s="18" t="s">
        <v>310</v>
      </c>
      <c r="C15" s="18" t="s">
        <v>311</v>
      </c>
      <c r="G15" s="15" t="s">
        <v>312</v>
      </c>
    </row>
    <row r="16" spans="1:7">
      <c r="A16" s="17">
        <f t="shared" si="0"/>
        <v>15</v>
      </c>
      <c r="B16" s="18" t="s">
        <v>313</v>
      </c>
      <c r="C16" s="18" t="s">
        <v>314</v>
      </c>
      <c r="G16" s="15" t="s">
        <v>219</v>
      </c>
    </row>
    <row r="17" spans="1:7">
      <c r="A17" s="17">
        <f t="shared" si="0"/>
        <v>16</v>
      </c>
      <c r="B17" s="18" t="s">
        <v>315</v>
      </c>
      <c r="C17" s="18" t="s">
        <v>316</v>
      </c>
      <c r="G17" s="15" t="s">
        <v>219</v>
      </c>
    </row>
    <row r="18" spans="1:7">
      <c r="A18" s="17">
        <f t="shared" si="0"/>
        <v>17</v>
      </c>
      <c r="B18" s="18" t="s">
        <v>317</v>
      </c>
      <c r="C18" s="18" t="s">
        <v>318</v>
      </c>
      <c r="G18" s="15" t="s">
        <v>219</v>
      </c>
    </row>
    <row r="19" spans="1:7">
      <c r="A19" s="17">
        <f t="shared" si="0"/>
        <v>18</v>
      </c>
      <c r="B19" s="18" t="s">
        <v>319</v>
      </c>
      <c r="C19" s="18" t="s">
        <v>320</v>
      </c>
      <c r="G19" s="15" t="s">
        <v>222</v>
      </c>
    </row>
    <row r="20" spans="1:7">
      <c r="A20" s="17">
        <f t="shared" si="0"/>
        <v>19</v>
      </c>
      <c r="B20" s="18" t="s">
        <v>321</v>
      </c>
      <c r="C20" s="18" t="s">
        <v>322</v>
      </c>
      <c r="G20" s="15" t="s">
        <v>222</v>
      </c>
    </row>
    <row r="21" spans="1:7">
      <c r="A21" s="17">
        <f t="shared" si="0"/>
        <v>20</v>
      </c>
      <c r="B21" s="18" t="s">
        <v>323</v>
      </c>
      <c r="C21" s="18" t="s">
        <v>324</v>
      </c>
      <c r="G21" s="15" t="s">
        <v>282</v>
      </c>
    </row>
    <row r="22" spans="1:7">
      <c r="A22" s="17">
        <f t="shared" si="0"/>
        <v>21</v>
      </c>
      <c r="B22" s="18" t="s">
        <v>325</v>
      </c>
      <c r="C22" s="18" t="s">
        <v>326</v>
      </c>
      <c r="G22" s="15" t="s">
        <v>219</v>
      </c>
    </row>
    <row r="23" spans="1:7">
      <c r="A23" s="17">
        <f t="shared" si="0"/>
        <v>22</v>
      </c>
      <c r="B23" s="18" t="s">
        <v>327</v>
      </c>
      <c r="C23" s="18" t="s">
        <v>328</v>
      </c>
      <c r="G23" s="15" t="s">
        <v>229</v>
      </c>
    </row>
    <row r="24" spans="1:7">
      <c r="A24" s="17">
        <f t="shared" si="0"/>
        <v>23</v>
      </c>
      <c r="B24" s="18" t="s">
        <v>329</v>
      </c>
      <c r="C24" s="17" t="s">
        <v>330</v>
      </c>
      <c r="G24" s="15" t="s">
        <v>331</v>
      </c>
    </row>
    <row r="25" spans="1:7">
      <c r="A25" s="17">
        <f t="shared" si="0"/>
        <v>24</v>
      </c>
      <c r="B25" s="18" t="s">
        <v>332</v>
      </c>
      <c r="C25" s="18" t="s">
        <v>333</v>
      </c>
      <c r="G25" s="15" t="s">
        <v>219</v>
      </c>
    </row>
    <row r="26" spans="1:7">
      <c r="A26" s="17">
        <f t="shared" si="0"/>
        <v>25</v>
      </c>
      <c r="B26" s="18" t="s">
        <v>334</v>
      </c>
      <c r="C26" s="18" t="s">
        <v>335</v>
      </c>
      <c r="G26" s="15" t="s">
        <v>219</v>
      </c>
    </row>
    <row r="27" spans="1:7">
      <c r="A27" s="17">
        <f t="shared" si="0"/>
        <v>26</v>
      </c>
      <c r="B27" s="18" t="s">
        <v>336</v>
      </c>
      <c r="C27" s="18" t="s">
        <v>337</v>
      </c>
      <c r="G27" s="15" t="s">
        <v>293</v>
      </c>
    </row>
    <row r="28" spans="1:7">
      <c r="A28" s="17">
        <f t="shared" si="0"/>
        <v>27</v>
      </c>
      <c r="B28" s="18" t="s">
        <v>338</v>
      </c>
      <c r="C28" s="18" t="s">
        <v>339</v>
      </c>
      <c r="G28" s="15" t="s">
        <v>219</v>
      </c>
    </row>
    <row r="29" spans="1:7">
      <c r="A29" s="17">
        <f t="shared" si="0"/>
        <v>28</v>
      </c>
      <c r="B29" s="18" t="s">
        <v>340</v>
      </c>
      <c r="C29" s="18" t="s">
        <v>341</v>
      </c>
      <c r="G29" s="15" t="s">
        <v>219</v>
      </c>
    </row>
    <row r="30" spans="1:7">
      <c r="A30" s="17">
        <f t="shared" si="0"/>
        <v>29</v>
      </c>
      <c r="B30" s="18" t="s">
        <v>342</v>
      </c>
      <c r="C30" s="18" t="s">
        <v>343</v>
      </c>
      <c r="G30" s="15" t="s">
        <v>222</v>
      </c>
    </row>
    <row r="31" spans="1:7">
      <c r="A31" s="17">
        <f t="shared" si="0"/>
        <v>30</v>
      </c>
      <c r="B31" s="18" t="s">
        <v>344</v>
      </c>
      <c r="C31" s="18" t="s">
        <v>345</v>
      </c>
      <c r="G31" s="15" t="s">
        <v>219</v>
      </c>
    </row>
  </sheetData>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A273B37ABA714FA8948F3CA835080F" ma:contentTypeVersion="45" ma:contentTypeDescription="Create a new document." ma:contentTypeScope="" ma:versionID="96e8df973bdb0acc4aa9b02e14427656">
  <xsd:schema xmlns:xsd="http://www.w3.org/2001/XMLSchema" xmlns:xs="http://www.w3.org/2001/XMLSchema" xmlns:p="http://schemas.microsoft.com/office/2006/metadata/properties" xmlns:ns3="899af7c0-4d0e-417e-b53c-59836c2a1ea3" xmlns:ns4="6d00d6e4-6d78-40c4-b963-0059bf31cc03" xmlns:ns5="f1de24ab-b82a-4851-8709-ecc5263dd6b2" targetNamespace="http://schemas.microsoft.com/office/2006/metadata/properties" ma:root="true" ma:fieldsID="7099bd9a7a20205d28de1d505051297e" ns3:_="" ns4:_="" ns5:_="">
    <xsd:import namespace="899af7c0-4d0e-417e-b53c-59836c2a1ea3"/>
    <xsd:import namespace="6d00d6e4-6d78-40c4-b963-0059bf31cc03"/>
    <xsd:import namespace="f1de24ab-b82a-4851-8709-ecc5263dd6b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5:MediaServiceDateTaken" minOccurs="0"/>
                <xsd:element ref="ns4:MediaServiceObjectDetectorVersions" minOccurs="0"/>
                <xsd:element ref="ns4:MediaLengthInSeconds" minOccurs="0"/>
                <xsd:element ref="ns4:_activity"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9af7c0-4d0e-417e-b53c-59836c2a1ea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00d6e4-6d78-40c4-b963-0059bf31cc0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de24ab-b82a-4851-8709-ecc5263dd6b2" elementFormDefault="qualified">
    <xsd:import namespace="http://schemas.microsoft.com/office/2006/documentManagement/types"/>
    <xsd:import namespace="http://schemas.microsoft.com/office/infopath/2007/PartnerControls"/>
    <xsd:element name="MediaServiceDateTaken" ma:index="17"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d00d6e4-6d78-40c4-b963-0059bf31cc03"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66DF41-E565-4EC7-B0A0-CA0049DE3F4F}"/>
</file>

<file path=customXml/itemProps2.xml><?xml version="1.0" encoding="utf-8"?>
<ds:datastoreItem xmlns:ds="http://schemas.openxmlformats.org/officeDocument/2006/customXml" ds:itemID="{28E6D184-E472-4D4A-8220-0B692A69764E}"/>
</file>

<file path=customXml/itemProps3.xml><?xml version="1.0" encoding="utf-8"?>
<ds:datastoreItem xmlns:ds="http://schemas.openxmlformats.org/officeDocument/2006/customXml" ds:itemID="{E3842C89-4ACD-444F-8AE1-420A70F7E88B}"/>
</file>

<file path=customXml/itemProps4.xml><?xml version="1.0" encoding="utf-8"?>
<ds:datastoreItem xmlns:ds="http://schemas.openxmlformats.org/officeDocument/2006/customXml" ds:itemID="{DB195C2F-8F15-423C-A806-DBE81D4B98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Goluguri, Vara</dc:creator>
  <cp:keywords/>
  <dc:description/>
  <cp:lastModifiedBy/>
  <cp:revision/>
  <dcterms:created xsi:type="dcterms:W3CDTF">2026-01-28T08:24:32Z</dcterms:created>
  <dcterms:modified xsi:type="dcterms:W3CDTF">2026-02-25T08:22:04Z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0x010100A6A273B37ABA714FA8948F3CA835080F</vt:lpwstr>
  </property>
</Properties>
</file>